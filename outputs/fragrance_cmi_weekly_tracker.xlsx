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7d99510e0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I Dashboard" sheetId="1" r:id="Rbb6d94780f0944d9"/>
    <x:sheet xmlns:r="http://schemas.openxmlformats.org/officeDocument/2006/relationships" name="Analysis Summary" sheetId="2" r:id="R61036849a8c648e3"/>
    <x:sheet xmlns:r="http://schemas.openxmlformats.org/officeDocument/2006/relationships" name="Weekly Tracker" sheetId="3" r:id="Rc8b5c630ff6c4d14"/>
    <x:sheet xmlns:r="http://schemas.openxmlformats.org/officeDocument/2006/relationships" name="Pain Points" sheetId="4" r:id="R3d5f9393a97e42ae"/>
    <x:sheet xmlns:r="http://schemas.openxmlformats.org/officeDocument/2006/relationships" name="Need States" sheetId="5" r:id="Rd00ba1cbdc6848c2"/>
    <x:sheet xmlns:r="http://schemas.openxmlformats.org/officeDocument/2006/relationships" name="Scent Families" sheetId="6" r:id="Rcbe33f4e25f8424d"/>
    <x:sheet xmlns:r="http://schemas.openxmlformats.org/officeDocument/2006/relationships" name="Brand Scorecard" sheetId="7" r:id="Rb5ece0b2ca6444b4"/>
    <x:sheet xmlns:r="http://schemas.openxmlformats.org/officeDocument/2006/relationships" name="Price Bands" sheetId="8" r:id="Ra484bd2f041d463a"/>
    <x:sheet xmlns:r="http://schemas.openxmlformats.org/officeDocument/2006/relationships" name="Segments" sheetId="9" r:id="R0f7be1df3e5d45a6"/>
    <x:sheet xmlns:r="http://schemas.openxmlformats.org/officeDocument/2006/relationships" name="Formats" sheetId="10" r:id="R32e137b41c02402f"/>
    <x:sheet xmlns:r="http://schemas.openxmlformats.org/officeDocument/2006/relationships" name="Repurchase" sheetId="11" r:id="Rbad49dcada414bae"/>
    <x:sheet xmlns:r="http://schemas.openxmlformats.org/officeDocument/2006/relationships" name="Metric Dictionary" sheetId="12" r:id="R6fb9a13c363f4476"/>
    <x:sheet xmlns:r="http://schemas.openxmlformats.org/officeDocument/2006/relationships" name="Source Notes" sheetId="13" r:id="R83414515486d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0.00"/>
    <x:numFmt numFmtId="204" formatCode="$#,##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647181"/>
      <x:name val="Carlito"/>
    </x:font>
    <x:font>
      <x:b/>
      <x:sz val="11"/>
      <x:color rgb="FFFFFFFF"/>
      <x:name val="Carlito"/>
    </x:font>
    <x:font>
      <x:sz val="10"/>
      <x:color rgb="FF24313D"/>
      <x:name val="Carlito"/>
    </x:font>
    <x:font>
      <x:b/>
      <x:sz val="11"/>
      <x:color rgb="FF647181"/>
      <x:name val="Carlito"/>
    </x:font>
    <x:font>
      <x:b/>
      <x:sz val="20"/>
      <x:color rgb="FF24313D"/>
      <x:name val="Carlito"/>
    </x:font>
    <x:font>
      <x:sz val="11"/>
      <x:color rgb="FF24313D"/>
      <x:name val="Carlito"/>
    </x:font>
    <x:font>
      <x:i/>
      <x:sz val="9"/>
      <x:color rgb="FF64718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DCE8F5"/>
      </x:patternFill>
    </x:fill>
    <x:fill>
      <x:patternFill patternType="solid">
        <x:fgColor rgb="FF3567A8"/>
      </x:patternFill>
    </x:fill>
    <x:fill>
      <x:patternFill patternType="solid">
        <x:fgColor rgb="FFFFFFFF"/>
      </x:patternFill>
    </x:fill>
    <x:fill>
      <x:patternFill patternType="solid">
        <x:fgColor rgb="FFF7EBCF"/>
      </x:patternFill>
    </x:fill>
    <x:fill>
      <x:patternFill patternType="solid">
        <x:fgColor rgb="FFF9E2D5"/>
      </x:patternFill>
    </x:fill>
    <x:fill>
      <x:patternFill patternType="solid">
        <x:fgColor rgb="FFC89632"/>
      </x:patternFill>
    </x:fill>
    <x:fill>
      <x:patternFill patternType="solid">
        <x:fgColor rgb="FFF7F9FB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DE3E9"/>
      </x:bottom>
    </x:border>
    <x:border>
      <x:top style="thin">
        <x:color rgb="FFDDE3E9"/>
      </x:top>
      <x:bottom style="thin">
        <x:color rgb="FFDDE3E9"/>
      </x:bottom>
    </x:border>
    <x:border>
      <x:top style="thin">
        <x:color rgb="FFDDE3E9"/>
      </x:top>
    </x:border>
    <x:border>
      <x:left style="thin">
        <x:color rgb="FFDDE3E9"/>
      </x:left>
      <x:top style="thin">
        <x:color rgb="FFDDE3E9"/>
      </x:top>
    </x:border>
    <x:border>
      <x:right style="thin">
        <x:color rgb="FFDDE3E9"/>
      </x:right>
      <x:top style="thin">
        <x:color rgb="FFDDE3E9"/>
      </x:top>
    </x:border>
    <x:border>
      <x:left style="thin">
        <x:color rgb="FFDDE3E9"/>
      </x:left>
      <x:bottom style="thin">
        <x:color rgb="FFDDE3E9"/>
      </x:bottom>
    </x:border>
    <x:border>
      <x:right style="thin">
        <x:color rgb="FFDDE3E9"/>
      </x:right>
      <x:bottom style="thin">
        <x:color rgb="FFDDE3E9"/>
      </x:bottom>
    </x:border>
    <x:border>
      <x:left style="thin">
        <x:color rgb="FFDDE3E9"/>
      </x:left>
    </x:border>
    <x:border>
      <x:right style="thin">
        <x:color rgb="FFDDE3E9"/>
      </x:right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6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4" xfId="0" applyNumberFormat="1" applyFont="1" applyFill="1" applyBorder="1"/>
    <x:xf numFmtId="0" fontId="6" fillId="5" borderId="10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202" fontId="6" fillId="5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6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4" xfId="0" applyNumberFormat="1" applyFont="1" applyFill="1" applyBorder="1"/>
    <x:xf numFmtId="0" fontId="7" fillId="6" borderId="10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6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4" xfId="0" applyNumberFormat="1" applyFont="1" applyFill="1" applyBorder="1"/>
    <x:xf numFmtId="0" fontId="7" fillId="5" borderId="10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6" xfId="0" applyNumberFormat="1" applyFont="1" applyFill="1" applyBorder="1"/>
    <x:xf numFmtId="0" fontId="8" fillId="9" borderId="8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9" xfId="0" applyNumberFormat="1" applyFont="1" applyFill="1" applyBorder="1"/>
    <x:xf numFmtId="0" fontId="8" fillId="9" borderId="4" xfId="0" applyNumberFormat="1" applyFont="1" applyFill="1" applyBorder="1"/>
    <x:xf numFmtId="0" fontId="8" fillId="9" borderId="10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vertical="center" wrapText="1"/>
    </x:xf>
    <x:xf numFmtId="0" fontId="8" fillId="9" borderId="6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ac870043843c8" /><Relationship Type="http://schemas.openxmlformats.org/officeDocument/2006/relationships/theme" Target="/xl/theme/theme1.xml" Id="R8063d8b5d45c4705" /><Relationship Type="http://schemas.openxmlformats.org/officeDocument/2006/relationships/sharedStrings" Target="/xl/sharedStrings.xml" Id="R7160b91a4b6b4105" /><Relationship Type="http://schemas.openxmlformats.org/officeDocument/2006/relationships/worksheet" Target="/xl/worksheets/sheet1.xml" Id="Rbb6d94780f0944d9" /><Relationship Type="http://schemas.openxmlformats.org/officeDocument/2006/relationships/worksheet" Target="/xl/worksheets/sheet2.xml" Id="R61036849a8c648e3" /><Relationship Type="http://schemas.openxmlformats.org/officeDocument/2006/relationships/worksheet" Target="/xl/worksheets/sheet3.xml" Id="Rc8b5c630ff6c4d14" /><Relationship Type="http://schemas.openxmlformats.org/officeDocument/2006/relationships/worksheet" Target="/xl/worksheets/sheet4.xml" Id="R3d5f9393a97e42ae" /><Relationship Type="http://schemas.openxmlformats.org/officeDocument/2006/relationships/worksheet" Target="/xl/worksheets/sheet5.xml" Id="Rd00ba1cbdc6848c2" /><Relationship Type="http://schemas.openxmlformats.org/officeDocument/2006/relationships/worksheet" Target="/xl/worksheets/sheet6.xml" Id="Rcbe33f4e25f8424d" /><Relationship Type="http://schemas.openxmlformats.org/officeDocument/2006/relationships/worksheet" Target="/xl/worksheets/sheet7.xml" Id="Rb5ece0b2ca6444b4" /><Relationship Type="http://schemas.openxmlformats.org/officeDocument/2006/relationships/worksheet" Target="/xl/worksheets/sheet8.xml" Id="Ra484bd2f041d463a" /><Relationship Type="http://schemas.openxmlformats.org/officeDocument/2006/relationships/worksheet" Target="/xl/worksheets/sheet9.xml" Id="R0f7be1df3e5d45a6" /><Relationship Type="http://schemas.openxmlformats.org/officeDocument/2006/relationships/worksheet" Target="/xl/worksheets/sheet10.xml" Id="R32e137b41c02402f" /><Relationship Type="http://schemas.openxmlformats.org/officeDocument/2006/relationships/worksheet" Target="/xl/worksheets/sheet11.xml" Id="Rbad49dcada414bae" /><Relationship Type="http://schemas.openxmlformats.org/officeDocument/2006/relationships/worksheet" Target="/xl/worksheets/sheet12.xml" Id="R6fb9a13c363f4476" /><Relationship Type="http://schemas.openxmlformats.org/officeDocument/2006/relationships/worksheet" Target="/xl/worksheets/sheet13.xml" Id="R83414515486d48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25be8691504a03" /><Relationship Type="http://schemas.openxmlformats.org/officeDocument/2006/relationships/chart" Target="/xl/drawings/charts/chart2.xml" Id="R0e2f137739574f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review volume (52 weeks)</a:t>
            </a:r>
          </a:p>
        </c:rich>
      </c:tx>
    </c:title>
    <c:plotArea>
      <c:lineChart>
        <c:grouping val="standard"/>
        <c:ser>
          <c:idx val="0"/>
          <c:order val="0"/>
          <c:tx>
            <c:v>Review volume</c:v>
          </c:tx>
          <c:spPr>
            <a:solidFill xmlns:a="http://schemas.openxmlformats.org/drawingml/2006/main">
              <a:srgbClr val="3567A8"/>
            </a:solidFill>
          </c:spPr>
          <c:marker>
            <c:symbol val="none"/>
          </c:marker>
          <c:cat>
            <c:strRef>
              <c:f>'Weekly Tracker'!$N$6:$N$57</c:f>
              <c:strCache>
                <c:ptCount val="0"/>
              </c:strCache>
            </c:strRef>
          </c:cat>
          <c:val>
            <c:numRef>
              <c:f>'Weekly Tracker'!$B$6:$B$57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Pain-point mention rate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Mention rate</c:v>
          </c:tx>
          <c:spPr>
            <a:solidFill xmlns:a="http://schemas.openxmlformats.org/drawingml/2006/main">
              <a:srgbClr val="D97841"/>
            </a:solidFill>
          </c:spPr>
          <c:cat>
            <c:strRef>
              <c:f>'Pain Points'!$A$6:$A$13</c:f>
              <c:strCache>
                <c:ptCount val="0"/>
              </c:strCache>
            </c:strRef>
          </c:cat>
          <c:val>
            <c:numRef>
              <c:f>'Pain Points'!$D$6:$D$13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25be8691504a0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2f137739574f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alysisSummaryTable" displayName="AnalysisSummaryTable" ref="A5:D18" headerRowCount="1" totalsRowCount="0" totalsRowShown="0">
  <x:autoFilter ref="A5:D18"/>
  <x:tableColumns count="4">
    <x:tableColumn id="1" name="Metric"/>
    <x:tableColumn id="2" name="Value"/>
    <x:tableColumn id="3" name="Display format"/>
    <x:tableColumn id="4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rackerTable" displayName="WeeklyTrackerTable" ref="A5:N57" headerRowCount="1" totalsRowCount="0" totalsRowShown="0">
  <x:autoFilter ref="A5:N57"/>
  <x:tableColumns count="14">
    <x:tableColumn id="1" name="Week"/>
    <x:tableColumn id="2" name="Review volume"/>
    <x:tableColumn id="3" name="Average rating"/>
    <x:tableColumn id="4" name="Positive reviews"/>
    <x:tableColumn id="5" name="Negative reviews"/>
    <x:tableColumn id="6" name="Verified reviews"/>
    <x:tableColumn id="7" name="Helpful votes"/>
    <x:tableColumn id="8" name="Price discussions"/>
    <x:tableColumn id="9" name="Text-eligible reviews"/>
    <x:tableColumn id="10" name="Positive share"/>
    <x:tableColumn id="11" name="Negative share"/>
    <x:tableColumn id="12" name="Verified share"/>
    <x:tableColumn id="13" name="Price discussion share"/>
    <x:tableColumn id="14" name="Week label (chart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nPointTable" displayName="PainPointTable" ref="A5:G13" headerRowCount="1" totalsRowCount="0" totalsRowShown="0">
  <x:autoFilter ref="A5:G13"/>
  <x:tableColumns count="7">
    <x:tableColumn id="1" name="Category"/>
    <x:tableColumn id="2" name="Mentions"/>
    <x:tableColumn id="3" name="Denominator"/>
    <x:tableColumn id="4" name="Mention rate"/>
    <x:tableColumn id="5" name="Share of tag mentions"/>
    <x:tableColumn id="6" name="Cumulative share"/>
    <x:tableColumn id="7" name="Denominator 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edStateTable" displayName="NeedStateTable" ref="A5:G12" headerRowCount="1" totalsRowCount="0" totalsRowShown="0">
  <x:autoFilter ref="A5:G12"/>
  <x:tableColumns count="7">
    <x:tableColumn id="1" name="Category"/>
    <x:tableColumn id="2" name="Mentions"/>
    <x:tableColumn id="3" name="Denominator"/>
    <x:tableColumn id="4" name="Mention rate"/>
    <x:tableColumn id="5" name="Share of tag mentions"/>
    <x:tableColumn id="6" name="Cumulative share"/>
    <x:tableColumn id="7" name="Denominator 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tFamilyTable" displayName="ScentFamilyTable" ref="A5:G16" headerRowCount="1" totalsRowCount="0" totalsRowShown="0">
  <x:autoFilter ref="A5:G16"/>
  <x:tableColumns count="7">
    <x:tableColumn id="1" name="Category"/>
    <x:tableColumn id="2" name="Mentions"/>
    <x:tableColumn id="3" name="Denominator"/>
    <x:tableColumn id="4" name="Mention rate"/>
    <x:tableColumn id="5" name="Share of tag mentions"/>
    <x:tableColumn id="6" name="Cumulative share"/>
    <x:tableColumn id="7" name="Denominator defin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randScorecardTable" displayName="BrandScorecardTable" ref="A5:M139" headerRowCount="1" totalsRowCount="0" totalsRowShown="0">
  <x:autoFilter ref="A5:M139"/>
  <x:tableColumns count="13">
    <x:tableColumn id="1" name="Brand"/>
    <x:tableColumn id="2" name="Review volume"/>
    <x:tableColumn id="3" name="Products"/>
    <x:tableColumn id="4" name="Average rating"/>
    <x:tableColumn id="5" name="Median price (USD)"/>
    <x:tableColumn id="6" name="Price coverage"/>
    <x:tableColumn id="7" name="Verified share"/>
    <x:tableColumn id="8" name="Helpful votes"/>
    <x:tableColumn id="9" name="Positive share"/>
    <x:tableColumn id="10" name="Negative share"/>
    <x:tableColumn id="11" name="Longevity mentions"/>
    <x:tableColumn id="12" name="Value mentions"/>
    <x:tableColumn id="13" name="Authenticity men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ceBandTable" displayName="PriceBandTable" ref="A5:G9" headerRowCount="1" totalsRowCount="0" totalsRowShown="0">
  <x:autoFilter ref="A5:G9"/>
  <x:tableColumns count="7">
    <x:tableColumn id="1" name="Price band"/>
    <x:tableColumn id="2" name="Review volume"/>
    <x:tableColumn id="3" name="Products"/>
    <x:tableColumn id="4" name="Average rating"/>
    <x:tableColumn id="5" name="Positive share"/>
    <x:tableColumn id="6" name="Negative share"/>
    <x:tableColumn id="7" name="Price discussion sha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gmentTable" displayName="SegmentTable" ref="A5:F11" headerRowCount="1" totalsRowCount="0" totalsRowShown="0">
  <x:autoFilter ref="A5:F11"/>
  <x:tableColumns count="6">
    <x:tableColumn id="1" name="Category"/>
    <x:tableColumn id="2" name="Review volume"/>
    <x:tableColumn id="3" name="Average rating"/>
    <x:tableColumn id="4" name="Positive share"/>
    <x:tableColumn id="5" name="Negative share"/>
    <x:tableColumn id="6" name="Share of review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ormatTable" displayName="FormatTable" ref="A5:F13" headerRowCount="1" totalsRowCount="0" totalsRowShown="0">
  <x:autoFilter ref="A5:F13"/>
  <x:tableColumns count="6">
    <x:tableColumn id="1" name="Category"/>
    <x:tableColumn id="2" name="Review volume"/>
    <x:tableColumn id="3" name="Average rating"/>
    <x:tableColumn id="4" name="Positive share"/>
    <x:tableColumn id="5" name="Negative share"/>
    <x:tableColumn id="6" name="Share of review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purchaseTable" displayName="RepurchaseTable" ref="A5:F8" headerRowCount="1" totalsRowCount="0" totalsRowShown="0">
  <x:autoFilter ref="A5:F8"/>
  <x:tableColumns count="6">
    <x:tableColumn id="1" name="Category"/>
    <x:tableColumn id="2" name="Review volume"/>
    <x:tableColumn id="3" name="Average rating"/>
    <x:tableColumn id="4" name="Positive share"/>
    <x:tableColumn id="5" name="Negative share"/>
    <x:tableColumn id="6" name="Share of review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tricDictionaryTable" displayName="MetricDictionaryTable" ref="A5:D16" headerRowCount="1" totalsRowCount="0" totalsRowShown="0">
  <x:autoFilter ref="A5:D16"/>
  <x:tableColumns count="4">
    <x:tableColumn id="1" name="Metric"/>
    <x:tableColumn id="2" name="Definition"/>
    <x:tableColumn id="3" name="Denominator / grain"/>
    <x:tableColumn id="4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NotesTable" displayName="SourceNotesTable" ref="A5:D14" headerRowCount="1" totalsRowCount="0" totalsRowShown="0">
  <x:autoFilter ref="A5:D14"/>
  <x:tableColumns count="4">
    <x:tableColumn id="1" name="Item"/>
    <x:tableColumn id="2" name="Value"/>
    <x:tableColumn id="3" name="Status"/>
    <x:tableColumn id="4" name="Im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cb0f0104f540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120a228319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d584a94f514a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a7d315279748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3b969993a64b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d84f3766d34f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6f237c04d349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200cbfb0b547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b77755e4e4c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c3edf2cacb94f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612857fd0448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e09eb1480043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2605cb5bf1442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3" hidden="0" customWidth="1"/>
  </x:cols>
  <x:sheetData>
    <x:row r="1" ht="24" customHeight="1">
      <x:c r="A1" s="4" t="str">
        <x:v>Fragrance Consumer Insight — Weekly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A3" s="7" t="str">
        <x:v>Decision view | Amazon Reviews 2023 | data through 2023-08-30 | historical portfolio analysis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48" t="str">
        <x:v>Analysis reviews</x:v>
      </x:c>
      <x:c r="B5" s="48"/>
      <x:c r="C5" s="48"/>
      <x:c r="D5" s="48" t="str">
        <x:v>Fragrance products</x:v>
      </x:c>
      <x:c r="E5" s="48"/>
      <x:c r="F5" s="48"/>
      <x:c r="H5" s="73" t="str">
        <x:v>Verified purchase</x:v>
      </x:c>
      <x:c r="I5" s="73"/>
      <x:c r="J5" s="73"/>
      <x:c r="K5" s="78" t="str">
        <x:v>Negative review share</x:v>
      </x:c>
      <x:c r="L5" s="78"/>
      <x:c r="M5" s="78"/>
      <x:c r="N5" s="78"/>
    </x:row>
    <x:row r="6">
      <x:c r="A6" s="69" t="n">
        <x:f>'Analysis Summary'!B7</x:f>
        <x:v>14647</x:v>
      </x:c>
      <x:c r="B6" s="64"/>
      <x:c r="C6" s="65"/>
      <x:c r="D6" s="69" t="n">
        <x:f>'Analysis Summary'!B8</x:f>
        <x:v>3022</x:v>
      </x:c>
      <x:c r="E6" s="64"/>
      <x:c r="F6" s="65"/>
      <x:c r="H6" s="74" t="n">
        <x:f>'Analysis Summary'!B10</x:f>
        <x:v>0.9307708063084591</x:v>
      </x:c>
      <x:c r="I6" s="64"/>
      <x:c r="J6" s="65"/>
      <x:c r="K6" s="74" t="n">
        <x:f>'Analysis Summary'!B14</x:f>
        <x:v>0.17484809175940466</x:v>
      </x:c>
      <x:c r="L6" s="64"/>
      <x:c r="M6" s="64"/>
      <x:c r="N6" s="65"/>
    </x:row>
    <x:row r="7">
      <x:c r="A7" s="66"/>
      <x:c r="B7" s="67"/>
      <x:c r="C7" s="68"/>
      <x:c r="D7" s="66"/>
      <x:c r="E7" s="67"/>
      <x:c r="F7" s="68"/>
      <x:c r="H7" s="66"/>
      <x:c r="I7" s="67"/>
      <x:c r="J7" s="68"/>
      <x:c r="K7" s="66"/>
      <x:c r="L7" s="67"/>
      <x:c r="M7" s="67"/>
      <x:c r="N7" s="68"/>
    </x:row>
    <x:row r="10">
      <x:c r="A10" s="79" t="str">
        <x:v>Data quality gate</x:v>
      </x:c>
      <x:c r="B10" s="79"/>
      <x:c r="C10" s="79"/>
      <x:c r="D10" s="79"/>
      <x:c r="E10" s="79"/>
      <x:c r="F10" s="79"/>
      <x:c r="H10" s="98" t="str">
        <x:v>Decision hypotheses to validate</x:v>
      </x:c>
      <x:c r="I10" s="98"/>
      <x:c r="J10" s="98"/>
      <x:c r="K10" s="98"/>
      <x:c r="L10" s="98"/>
      <x:c r="M10" s="98"/>
      <x:c r="N10" s="98"/>
    </x:row>
    <x:row r="11">
      <x:c r="A11" s="89" t="str">
        <x:v>Matched reviews before dedupe</x:v>
      </x:c>
      <x:c r="B11" s="89"/>
      <x:c r="C11" s="89"/>
      <x:c r="D11" s="89"/>
      <x:c r="E11" s="90" t="n">
        <x:f>'Analysis Summary'!B15</x:f>
        <x:v>14813</x:v>
      </x:c>
      <x:c r="F11" s="89"/>
      <x:c r="H11" s="112" t="str">
        <x:v>1. Reduce scent-selection risk with a paid discovery / travel-size route.</x:v>
      </x:c>
      <x:c r="I11" s="113"/>
      <x:c r="J11" s="113"/>
      <x:c r="K11" s="113"/>
      <x:c r="L11" s="113"/>
      <x:c r="M11" s="113"/>
      <x:c r="N11" s="114"/>
    </x:row>
    <x:row r="12">
      <x:c r="A12" s="91" t="str">
        <x:v>Duplicates removed</x:v>
      </x:c>
      <x:c r="B12" s="91"/>
      <x:c r="C12" s="91"/>
      <x:c r="D12" s="91"/>
      <x:c r="E12" s="92" t="n">
        <x:f>'Analysis Summary'!B16</x:f>
        <x:v>166</x:v>
      </x:c>
      <x:c r="F12" s="91"/>
      <x:c r="H12" s="115"/>
      <x:c r="I12" s="116"/>
      <x:c r="J12" s="116"/>
      <x:c r="K12" s="116"/>
      <x:c r="L12" s="116"/>
      <x:c r="M12" s="116"/>
      <x:c r="N12" s="117"/>
    </x:row>
    <x:row r="13">
      <x:c r="A13" s="91" t="str">
        <x:v>Text-eligible reviews</x:v>
      </x:c>
      <x:c r="B13" s="91"/>
      <x:c r="C13" s="91"/>
      <x:c r="D13" s="91"/>
      <x:c r="E13" s="92" t="n">
        <x:f>'Analysis Summary'!B9</x:f>
        <x:v>13859</x:v>
      </x:c>
      <x:c r="F13" s="91"/>
      <x:c r="H13" s="131" t="str">
        <x:v>2. Build content as occasion × scent family × performance expectation.</x:v>
      </x:c>
      <x:c r="I13" s="132"/>
      <x:c r="J13" s="132"/>
      <x:c r="K13" s="132"/>
      <x:c r="L13" s="132"/>
      <x:c r="M13" s="132"/>
      <x:c r="N13" s="133"/>
    </x:row>
    <x:row r="14">
      <x:c r="A14" s="91" t="str">
        <x:v>Price coverage</x:v>
      </x:c>
      <x:c r="B14" s="91"/>
      <x:c r="C14" s="91"/>
      <x:c r="D14" s="91"/>
      <x:c r="E14" s="93" t="n">
        <x:f>'Analysis Summary'!B11</x:f>
        <x:v>0.5498736942718645</x:v>
      </x:c>
      <x:c r="F14" s="91"/>
      <x:c r="H14" s="134"/>
      <x:c r="I14" s="135"/>
      <x:c r="J14" s="135"/>
      <x:c r="K14" s="135"/>
      <x:c r="L14" s="135"/>
      <x:c r="M14" s="135"/>
      <x:c r="N14" s="136"/>
    </x:row>
    <x:row r="15">
      <x:c r="A15" s="94" t="str">
        <x:v>Pain-point denominator</x:v>
      </x:c>
      <x:c r="B15" s="94"/>
      <x:c r="C15" s="94"/>
      <x:c r="D15" s="94"/>
      <x:c r="E15" s="95" t="n">
        <x:f>'Analysis Summary'!B17</x:f>
        <x:v>2507</x:v>
      </x:c>
      <x:c r="F15" s="94"/>
      <x:c r="H15" s="112" t="str">
        <x:v>3. Judge competitors on review footprint and satisfaction together.</x:v>
      </x:c>
      <x:c r="I15" s="113"/>
      <x:c r="J15" s="113"/>
      <x:c r="K15" s="113"/>
      <x:c r="L15" s="113"/>
      <x:c r="M15" s="113"/>
      <x:c r="N15" s="114"/>
    </x:row>
    <x:row r="16">
      <x:c r="H16" s="115"/>
      <x:c r="I16" s="116"/>
      <x:c r="J16" s="116"/>
      <x:c r="K16" s="116"/>
      <x:c r="L16" s="116"/>
      <x:c r="M16" s="116"/>
      <x:c r="N16" s="117"/>
    </x:row>
    <x:row r="38">
      <x:c r="A38" s="156" t="str">
        <x:v>Read with care: this is historical public e-commerce review evidence, not 2026 China market share. Need, pain and scent tags are multi-label. See Metric Dictionary and Source Notes before using a percentage.</x:v>
      </x:c>
      <x:c r="B38" s="157"/>
      <x:c r="C38" s="157"/>
      <x:c r="D38" s="157"/>
      <x:c r="E38" s="157"/>
      <x:c r="F38" s="157"/>
      <x:c r="G38" s="157"/>
      <x:c r="H38" s="157"/>
      <x:c r="I38" s="157"/>
      <x:c r="J38" s="157"/>
      <x:c r="K38" s="157"/>
      <x:c r="L38" s="157"/>
      <x:c r="M38" s="157"/>
      <x:c r="N38" s="158"/>
    </x:row>
    <x:row r="39">
      <x:c r="A39" s="159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1"/>
    </x:row>
    <x:row r="40">
      <x:c r="A40" s="162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4"/>
    </x:row>
  </x:sheetData>
  <x:mergeCells>
    <x:mergeCell ref="A1:N2"/>
    <x:mergeCell ref="A3:N3"/>
    <x:mergeCell ref="A5:C5"/>
    <x:mergeCell ref="A6:C7"/>
    <x:mergeCell ref="D5:F5"/>
    <x:mergeCell ref="D6:F7"/>
    <x:mergeCell ref="H5:J5"/>
    <x:mergeCell ref="H6:J7"/>
    <x:mergeCell ref="K5:N5"/>
    <x:mergeCell ref="K6:N7"/>
    <x:mergeCell ref="A10:F10"/>
    <x:mergeCell ref="A11:D11"/>
    <x:mergeCell ref="E11:F11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H10:N10"/>
    <x:mergeCell ref="H11:N12"/>
    <x:mergeCell ref="H13:N14"/>
    <x:mergeCell ref="H15:N16"/>
    <x:mergeCell ref="A38:N40"/>
  </x:mergeCells>
  <x:pageMargins left="0.7" right="0.7" top="0.75" bottom="0.75" header="0.3" footer="0.3"/>
  <x:drawing xmlns:r="http://schemas.openxmlformats.org/officeDocument/2006/relationships" r:id="R43cb0f0104f5400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8" hidden="0" customWidth="1"/>
  </x:cols>
  <x:sheetData>
    <x:row r="1" ht="24" customHeight="1">
      <x:c r="A1" s="4" t="str">
        <x:v>Analysis summary</x:v>
      </x:c>
      <x:c r="B1" s="4"/>
      <x:c r="C1" s="4"/>
      <x:c r="D1" s="4"/>
    </x:row>
    <x:row r="2" ht="22" customHeight="1">
      <x:c r="A2" s="4"/>
      <x:c r="B2" s="4"/>
      <x:c r="C2" s="4"/>
      <x:c r="D2" s="4"/>
    </x:row>
    <x:row r="3" ht="26" customHeight="1">
      <x:c r="A3" s="7" t="str">
        <x:v>Source-backed values used by the dashboard; formulas on the dashboard reference this sheet.</x:v>
      </x:c>
      <x:c r="B3" s="7"/>
      <x:c r="C3" s="7"/>
      <x:c r="D3" s="7"/>
    </x:row>
    <x:row r="5" ht="30" customHeight="1">
      <x:c r="A5" s="16" t="str">
        <x:v>Metric</x:v>
      </x:c>
      <x:c r="B5" s="17" t="str">
        <x:v>Value</x:v>
      </x:c>
      <x:c r="C5" s="17" t="str">
        <x:v>Display format</x:v>
      </x:c>
      <x:c r="D5" s="18" t="str">
        <x:v>Definition</x:v>
      </x:c>
    </x:row>
    <x:row r="6">
      <x:c r="A6" s="23" t="str">
        <x:v>Data as of</x:v>
      </x:c>
      <x:c r="B6" s="26" t="str">
        <x:v>2023-08-30</x:v>
      </x:c>
      <x:c r="C6" s="23" t="str">
        <x:v>yyyy-mm-dd</x:v>
      </x:c>
      <x:c r="D6" s="23" t="str">
        <x:v>Latest valid review date in the fragrance subset</x:v>
      </x:c>
    </x:row>
    <x:row r="7">
      <x:c r="A7" s="24" t="str">
        <x:v>Analysis reviews</x:v>
      </x:c>
      <x:c r="B7" s="27" t="n">
        <x:v>14647</x:v>
      </x:c>
      <x:c r="C7" s="24" t="str">
        <x:v>#,##0</x:v>
      </x:c>
      <x:c r="D7" s="24" t="str">
        <x:v>Deduplicated fragrance reviews with valid date and rating</x:v>
      </x:c>
    </x:row>
    <x:row r="8">
      <x:c r="A8" s="24" t="str">
        <x:v>Fragrance products</x:v>
      </x:c>
      <x:c r="B8" s="27" t="n">
        <x:v>3022</x:v>
      </x:c>
      <x:c r="C8" s="24" t="str">
        <x:v>#,##0</x:v>
      </x:c>
      <x:c r="D8" s="24" t="str">
        <x:v>Distinct reviewed parent ASINs</x:v>
      </x:c>
    </x:row>
    <x:row r="9">
      <x:c r="A9" s="24" t="str">
        <x:v>Text-eligible reviews</x:v>
      </x:c>
      <x:c r="B9" s="27" t="n">
        <x:v>13859</x:v>
      </x:c>
      <x:c r="C9" s="24" t="str">
        <x:v>#,##0</x:v>
      </x:c>
      <x:c r="D9" s="24" t="str">
        <x:v>At least 20 characters and 4 tokens, excluding pure promo for text cuts</x:v>
      </x:c>
    </x:row>
    <x:row r="10">
      <x:c r="A10" s="24" t="str">
        <x:v>Verified purchase share</x:v>
      </x:c>
      <x:c r="B10" s="28" t="n">
        <x:v>0.9307708063084591</x:v>
      </x:c>
      <x:c r="C10" s="24" t="str">
        <x:v>0.0%</x:v>
      </x:c>
      <x:c r="D10" s="24" t="str">
        <x:v>Source verified_purchase flag</x:v>
      </x:c>
    </x:row>
    <x:row r="11">
      <x:c r="A11" s="24" t="str">
        <x:v>Price coverage share</x:v>
      </x:c>
      <x:c r="B11" s="28" t="n">
        <x:v>0.5498736942718645</x:v>
      </x:c>
      <x:c r="C11" s="24" t="str">
        <x:v>0.0%</x:v>
      </x:c>
      <x:c r="D11" s="24" t="str">
        <x:v>Reviews linked to non-null item list price</x:v>
      </x:c>
    </x:row>
    <x:row r="12">
      <x:c r="A12" s="24" t="str">
        <x:v>Average rating</x:v>
      </x:c>
      <x:c r="B12" s="29" t="n">
        <x:v>4.121458319109715</x:v>
      </x:c>
      <x:c r="C12" s="24" t="str">
        <x:v>0.00</x:v>
      </x:c>
      <x:c r="D12" s="24" t="str">
        <x:v>Mean 1–5 star rating</x:v>
      </x:c>
    </x:row>
    <x:row r="13">
      <x:c r="A13" s="24" t="str">
        <x:v>Positive review share</x:v>
      </x:c>
      <x:c r="B13" s="28" t="n">
        <x:v>0.7573564552468082</x:v>
      </x:c>
      <x:c r="C13" s="24" t="str">
        <x:v>0.0%</x:v>
      </x:c>
      <x:c r="D13" s="24" t="str">
        <x:v>Share with rating 4 or 5</x:v>
      </x:c>
    </x:row>
    <x:row r="14">
      <x:c r="A14" s="24" t="str">
        <x:v>Negative review share</x:v>
      </x:c>
      <x:c r="B14" s="28" t="n">
        <x:v>0.17484809175940466</x:v>
      </x:c>
      <x:c r="C14" s="24" t="str">
        <x:v>0.0%</x:v>
      </x:c>
      <x:c r="D14" s="24" t="str">
        <x:v>Share with rating 1 or 2</x:v>
      </x:c>
    </x:row>
    <x:row r="15">
      <x:c r="A15" s="24" t="str">
        <x:v>Matched review rows</x:v>
      </x:c>
      <x:c r="B15" s="27" t="n">
        <x:v>14813</x:v>
      </x:c>
      <x:c r="C15" s="24" t="str">
        <x:v>#,##0</x:v>
      </x:c>
      <x:c r="D15" s="24" t="str">
        <x:v>Reviews matched to the fragrance product set before deduplication</x:v>
      </x:c>
    </x:row>
    <x:row r="16">
      <x:c r="A16" s="24" t="str">
        <x:v>Duplicate review rows</x:v>
      </x:c>
      <x:c r="B16" s="27" t="n">
        <x:v>166</x:v>
      </x:c>
      <x:c r="C16" s="24" t="str">
        <x:v>#,##0</x:v>
      </x:c>
      <x:c r="D16" s="24" t="str">
        <x:v>Composite-key duplicates removed</x:v>
      </x:c>
    </x:row>
    <x:row r="17">
      <x:c r="A17" s="24" t="str">
        <x:v>Negative eligible reviews</x:v>
      </x:c>
      <x:c r="B17" s="27" t="n">
        <x:v>2507</x:v>
      </x:c>
      <x:c r="C17" s="24" t="str">
        <x:v>#,##0</x:v>
      </x:c>
      <x:c r="D17" s="24" t="str">
        <x:v>Pain-point denominator</x:v>
      </x:c>
    </x:row>
    <x:row r="18">
      <x:c r="A18" s="25" t="str">
        <x:v>Explicit repurchase rows</x:v>
      </x:c>
      <x:c r="B18" s="30" t="n">
        <x:v>354</x:v>
      </x:c>
      <x:c r="C18" s="25" t="str">
        <x:v>#,##0</x:v>
      </x:c>
      <x:c r="D18" s="25" t="str">
        <x:v>Reviews with explicit positive/negative buy-again language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2120a2283194c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4" customHeight="1">
      <x:c r="A1" s="4" t="str">
        <x:v>52-week consumer voice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A3" s="7" t="str">
        <x:v>Historical template using the final 52 observed calendar weeks in Amazon Reviews 2023.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0" customHeight="1">
      <x:c r="A5" s="16" t="str">
        <x:v>Week</x:v>
      </x:c>
      <x:c r="B5" s="17" t="str">
        <x:v>Review volume</x:v>
      </x:c>
      <x:c r="C5" s="17" t="str">
        <x:v>Average rating</x:v>
      </x:c>
      <x:c r="D5" s="17" t="str">
        <x:v>Positive reviews</x:v>
      </x:c>
      <x:c r="E5" s="17" t="str">
        <x:v>Negative reviews</x:v>
      </x:c>
      <x:c r="F5" s="17" t="str">
        <x:v>Verified reviews</x:v>
      </x:c>
      <x:c r="G5" s="17" t="str">
        <x:v>Helpful votes</x:v>
      </x:c>
      <x:c r="H5" s="17" t="str">
        <x:v>Price discussions</x:v>
      </x:c>
      <x:c r="I5" s="17" t="str">
        <x:v>Text-eligible reviews</x:v>
      </x:c>
      <x:c r="J5" s="17" t="str">
        <x:v>Positive share</x:v>
      </x:c>
      <x:c r="K5" s="17" t="str">
        <x:v>Negative share</x:v>
      </x:c>
      <x:c r="L5" s="17" t="str">
        <x:v>Verified share</x:v>
      </x:c>
      <x:c r="M5" s="17" t="str">
        <x:v>Price discussion share</x:v>
      </x:c>
      <x:c r="N5" s="18" t="str">
        <x:v>Week label (chart)</x:v>
      </x:c>
    </x:row>
    <x:row r="6">
      <x:c r="A6" s="26" t="n">
        <x:v>44809</x:v>
      </x:c>
      <x:c r="B6" s="33" t="n">
        <x:v>44</x:v>
      </x:c>
      <x:c r="C6" s="34" t="n">
        <x:v>4.3863636364</x:v>
      </x:c>
      <x:c r="D6" s="33" t="n">
        <x:v>37</x:v>
      </x:c>
      <x:c r="E6" s="33" t="n">
        <x:v>5</x:v>
      </x:c>
      <x:c r="F6" s="33" t="n">
        <x:v>40</x:v>
      </x:c>
      <x:c r="G6" s="33" t="n">
        <x:v>33</x:v>
      </x:c>
      <x:c r="H6" s="33" t="n">
        <x:v>5</x:v>
      </x:c>
      <x:c r="I6" s="33" t="n">
        <x:v>43</x:v>
      </x:c>
      <x:c r="J6" s="36" t="n">
        <x:f>IFERROR(D6/B6,0)</x:f>
        <x:v>0.8409090909090909</x:v>
      </x:c>
      <x:c r="K6" s="36" t="n">
        <x:f>IFERROR(E6/B6,0)</x:f>
        <x:v>0.11363636363636363</x:v>
      </x:c>
      <x:c r="L6" s="36" t="n">
        <x:f>IFERROR(F6/B6,0)</x:f>
        <x:v>0.9090909090909091</x:v>
      </x:c>
      <x:c r="M6" s="36" t="n">
        <x:f>IFERROR(H6/I6,0)</x:f>
        <x:v>0.11627906976744186</x:v>
      </x:c>
      <x:c r="N6" s="23" t="str">
        <x:f>TEXT(A6,"mmm d")</x:f>
        <x:v>Sep 5</x:v>
      </x:c>
    </x:row>
    <x:row r="7">
      <x:c r="A7" s="31" t="n">
        <x:v>44816</x:v>
      </x:c>
      <x:c r="B7" s="27" t="n">
        <x:v>26</x:v>
      </x:c>
      <x:c r="C7" s="29" t="n">
        <x:v>4.1153846154</x:v>
      </x:c>
      <x:c r="D7" s="27" t="n">
        <x:v>19</x:v>
      </x:c>
      <x:c r="E7" s="27" t="n">
        <x:v>4</x:v>
      </x:c>
      <x:c r="F7" s="27" t="n">
        <x:v>24</x:v>
      </x:c>
      <x:c r="G7" s="27" t="n">
        <x:v>34</x:v>
      </x:c>
      <x:c r="H7" s="27" t="n">
        <x:v>4</x:v>
      </x:c>
      <x:c r="I7" s="27" t="n">
        <x:v>26</x:v>
      </x:c>
      <x:c r="J7" s="28" t="n">
        <x:f>IFERROR(D7/B7,0)</x:f>
        <x:v>0.7307692307692307</x:v>
      </x:c>
      <x:c r="K7" s="28" t="n">
        <x:f>IFERROR(E7/B7,0)</x:f>
        <x:v>0.15384615384615385</x:v>
      </x:c>
      <x:c r="L7" s="28" t="n">
        <x:f>IFERROR(F7/B7,0)</x:f>
        <x:v>0.9230769230769231</x:v>
      </x:c>
      <x:c r="M7" s="28" t="n">
        <x:f>IFERROR(H7/I7,0)</x:f>
        <x:v>0.15384615384615385</x:v>
      </x:c>
      <x:c r="N7" s="24" t="str">
        <x:f>TEXT(A7,"mmm d")</x:f>
        <x:v>Sep 12</x:v>
      </x:c>
    </x:row>
    <x:row r="8">
      <x:c r="A8" s="31" t="n">
        <x:v>44823</x:v>
      </x:c>
      <x:c r="B8" s="27" t="n">
        <x:v>38</x:v>
      </x:c>
      <x:c r="C8" s="29" t="n">
        <x:v>4.0263157895</x:v>
      </x:c>
      <x:c r="D8" s="27" t="n">
        <x:v>28</x:v>
      </x:c>
      <x:c r="E8" s="27" t="n">
        <x:v>9</x:v>
      </x:c>
      <x:c r="F8" s="27" t="n">
        <x:v>34</x:v>
      </x:c>
      <x:c r="G8" s="27" t="n">
        <x:v>24</x:v>
      </x:c>
      <x:c r="H8" s="27" t="n">
        <x:v>5</x:v>
      </x:c>
      <x:c r="I8" s="27" t="n">
        <x:v>36</x:v>
      </x:c>
      <x:c r="J8" s="28" t="n">
        <x:f>IFERROR(D8/B8,0)</x:f>
        <x:v>0.7368421052631579</x:v>
      </x:c>
      <x:c r="K8" s="28" t="n">
        <x:f>IFERROR(E8/B8,0)</x:f>
        <x:v>0.23684210526315788</x:v>
      </x:c>
      <x:c r="L8" s="28" t="n">
        <x:f>IFERROR(F8/B8,0)</x:f>
        <x:v>0.8947368421052632</x:v>
      </x:c>
      <x:c r="M8" s="28" t="n">
        <x:f>IFERROR(H8/I8,0)</x:f>
        <x:v>0.1388888888888889</x:v>
      </x:c>
      <x:c r="N8" s="24" t="str">
        <x:f>TEXT(A8,"mmm d")</x:f>
        <x:v>Sep 19</x:v>
      </x:c>
    </x:row>
    <x:row r="9">
      <x:c r="A9" s="31" t="n">
        <x:v>44830</x:v>
      </x:c>
      <x:c r="B9" s="27" t="n">
        <x:v>44</x:v>
      </x:c>
      <x:c r="C9" s="29" t="n">
        <x:v>4.1590909091</x:v>
      </x:c>
      <x:c r="D9" s="27" t="n">
        <x:v>34</x:v>
      </x:c>
      <x:c r="E9" s="27" t="n">
        <x:v>8</x:v>
      </x:c>
      <x:c r="F9" s="27" t="n">
        <x:v>41</x:v>
      </x:c>
      <x:c r="G9" s="27" t="n">
        <x:v>16</x:v>
      </x:c>
      <x:c r="H9" s="27" t="n">
        <x:v>5</x:v>
      </x:c>
      <x:c r="I9" s="27" t="n">
        <x:v>43</x:v>
      </x:c>
      <x:c r="J9" s="28" t="n">
        <x:f>IFERROR(D9/B9,0)</x:f>
        <x:v>0.7727272727272727</x:v>
      </x:c>
      <x:c r="K9" s="28" t="n">
        <x:f>IFERROR(E9/B9,0)</x:f>
        <x:v>0.18181818181818182</x:v>
      </x:c>
      <x:c r="L9" s="28" t="n">
        <x:f>IFERROR(F9/B9,0)</x:f>
        <x:v>0.9318181818181818</x:v>
      </x:c>
      <x:c r="M9" s="28" t="n">
        <x:f>IFERROR(H9/I9,0)</x:f>
        <x:v>0.11627906976744186</x:v>
      </x:c>
      <x:c r="N9" s="24" t="str">
        <x:f>TEXT(A9,"mmm d")</x:f>
        <x:v>Sep 26</x:v>
      </x:c>
    </x:row>
    <x:row r="10">
      <x:c r="A10" s="31" t="n">
        <x:v>44837</x:v>
      </x:c>
      <x:c r="B10" s="27" t="n">
        <x:v>49</x:v>
      </x:c>
      <x:c r="C10" s="29" t="n">
        <x:v>4.0816326531</x:v>
      </x:c>
      <x:c r="D10" s="27" t="n">
        <x:v>36</x:v>
      </x:c>
      <x:c r="E10" s="27" t="n">
        <x:v>8</x:v>
      </x:c>
      <x:c r="F10" s="27" t="n">
        <x:v>46</x:v>
      </x:c>
      <x:c r="G10" s="27" t="n">
        <x:v>22</x:v>
      </x:c>
      <x:c r="H10" s="27" t="n">
        <x:v>7</x:v>
      </x:c>
      <x:c r="I10" s="27" t="n">
        <x:v>46</x:v>
      </x:c>
      <x:c r="J10" s="28" t="n">
        <x:f>IFERROR(D10/B10,0)</x:f>
        <x:v>0.7346938775510204</x:v>
      </x:c>
      <x:c r="K10" s="28" t="n">
        <x:f>IFERROR(E10/B10,0)</x:f>
        <x:v>0.16326530612244897</x:v>
      </x:c>
      <x:c r="L10" s="28" t="n">
        <x:f>IFERROR(F10/B10,0)</x:f>
        <x:v>0.9387755102040817</x:v>
      </x:c>
      <x:c r="M10" s="28" t="n">
        <x:f>IFERROR(H10/I10,0)</x:f>
        <x:v>0.15217391304347827</x:v>
      </x:c>
      <x:c r="N10" s="24" t="str">
        <x:f>TEXT(A10,"mmm d")</x:f>
        <x:v>Oct 3</x:v>
      </x:c>
    </x:row>
    <x:row r="11">
      <x:c r="A11" s="31" t="n">
        <x:v>44844</x:v>
      </x:c>
      <x:c r="B11" s="27" t="n">
        <x:v>40</x:v>
      </x:c>
      <x:c r="C11" s="29" t="n">
        <x:v>3.725</x:v>
      </x:c>
      <x:c r="D11" s="27" t="n">
        <x:v>27</x:v>
      </x:c>
      <x:c r="E11" s="27" t="n">
        <x:v>12</x:v>
      </x:c>
      <x:c r="F11" s="27" t="n">
        <x:v>39</x:v>
      </x:c>
      <x:c r="G11" s="27" t="n">
        <x:v>17</x:v>
      </x:c>
      <x:c r="H11" s="27" t="n">
        <x:v>7</x:v>
      </x:c>
      <x:c r="I11" s="27" t="n">
        <x:v>40</x:v>
      </x:c>
      <x:c r="J11" s="28" t="n">
        <x:f>IFERROR(D11/B11,0)</x:f>
        <x:v>0.675</x:v>
      </x:c>
      <x:c r="K11" s="28" t="n">
        <x:f>IFERROR(E11/B11,0)</x:f>
        <x:v>0.3</x:v>
      </x:c>
      <x:c r="L11" s="28" t="n">
        <x:f>IFERROR(F11/B11,0)</x:f>
        <x:v>0.975</x:v>
      </x:c>
      <x:c r="M11" s="28" t="n">
        <x:f>IFERROR(H11/I11,0)</x:f>
        <x:v>0.175</x:v>
      </x:c>
      <x:c r="N11" s="24" t="str">
        <x:f>TEXT(A11,"mmm d")</x:f>
        <x:v>Oct 10</x:v>
      </x:c>
    </x:row>
    <x:row r="12">
      <x:c r="A12" s="31" t="n">
        <x:v>44851</x:v>
      </x:c>
      <x:c r="B12" s="27" t="n">
        <x:v>54</x:v>
      </x:c>
      <x:c r="C12" s="29" t="n">
        <x:v>4.1851851852</x:v>
      </x:c>
      <x:c r="D12" s="27" t="n">
        <x:v>41</x:v>
      </x:c>
      <x:c r="E12" s="27" t="n">
        <x:v>6</x:v>
      </x:c>
      <x:c r="F12" s="27" t="n">
        <x:v>28</x:v>
      </x:c>
      <x:c r="G12" s="27" t="n">
        <x:v>24</x:v>
      </x:c>
      <x:c r="H12" s="27" t="n">
        <x:v>15</x:v>
      </x:c>
      <x:c r="I12" s="27" t="n">
        <x:v>54</x:v>
      </x:c>
      <x:c r="J12" s="28" t="n">
        <x:f>IFERROR(D12/B12,0)</x:f>
        <x:v>0.7592592592592593</x:v>
      </x:c>
      <x:c r="K12" s="28" t="n">
        <x:f>IFERROR(E12/B12,0)</x:f>
        <x:v>0.1111111111111111</x:v>
      </x:c>
      <x:c r="L12" s="28" t="n">
        <x:f>IFERROR(F12/B12,0)</x:f>
        <x:v>0.5185185185185185</x:v>
      </x:c>
      <x:c r="M12" s="28" t="n">
        <x:f>IFERROR(H12/I12,0)</x:f>
        <x:v>0.2777777777777778</x:v>
      </x:c>
      <x:c r="N12" s="24" t="str">
        <x:f>TEXT(A12,"mmm d")</x:f>
        <x:v>Oct 17</x:v>
      </x:c>
    </x:row>
    <x:row r="13">
      <x:c r="A13" s="31" t="n">
        <x:v>44858</x:v>
      </x:c>
      <x:c r="B13" s="27" t="n">
        <x:v>25</x:v>
      </x:c>
      <x:c r="C13" s="29" t="n">
        <x:v>3.48</x:v>
      </x:c>
      <x:c r="D13" s="27" t="n">
        <x:v>16</x:v>
      </x:c>
      <x:c r="E13" s="27" t="n">
        <x:v>8</x:v>
      </x:c>
      <x:c r="F13" s="27" t="n">
        <x:v>20</x:v>
      </x:c>
      <x:c r="G13" s="27" t="n">
        <x:v>15</x:v>
      </x:c>
      <x:c r="H13" s="27" t="n">
        <x:v>2</x:v>
      </x:c>
      <x:c r="I13" s="27" t="n">
        <x:v>24</x:v>
      </x:c>
      <x:c r="J13" s="28" t="n">
        <x:f>IFERROR(D13/B13,0)</x:f>
        <x:v>0.64</x:v>
      </x:c>
      <x:c r="K13" s="28" t="n">
        <x:f>IFERROR(E13/B13,0)</x:f>
        <x:v>0.32</x:v>
      </x:c>
      <x:c r="L13" s="28" t="n">
        <x:f>IFERROR(F13/B13,0)</x:f>
        <x:v>0.8</x:v>
      </x:c>
      <x:c r="M13" s="28" t="n">
        <x:f>IFERROR(H13/I13,0)</x:f>
        <x:v>0.08333333333333333</x:v>
      </x:c>
      <x:c r="N13" s="24" t="str">
        <x:f>TEXT(A13,"mmm d")</x:f>
        <x:v>Oct 24</x:v>
      </x:c>
    </x:row>
    <x:row r="14">
      <x:c r="A14" s="31" t="n">
        <x:v>44865</x:v>
      </x:c>
      <x:c r="B14" s="27" t="n">
        <x:v>34</x:v>
      </x:c>
      <x:c r="C14" s="29" t="n">
        <x:v>4.1176470588</x:v>
      </x:c>
      <x:c r="D14" s="27" t="n">
        <x:v>26</x:v>
      </x:c>
      <x:c r="E14" s="27" t="n">
        <x:v>5</x:v>
      </x:c>
      <x:c r="F14" s="27" t="n">
        <x:v>32</x:v>
      </x:c>
      <x:c r="G14" s="27" t="n">
        <x:v>19</x:v>
      </x:c>
      <x:c r="H14" s="27" t="n">
        <x:v>5</x:v>
      </x:c>
      <x:c r="I14" s="27" t="n">
        <x:v>32</x:v>
      </x:c>
      <x:c r="J14" s="28" t="n">
        <x:f>IFERROR(D14/B14,0)</x:f>
        <x:v>0.7647058823529411</x:v>
      </x:c>
      <x:c r="K14" s="28" t="n">
        <x:f>IFERROR(E14/B14,0)</x:f>
        <x:v>0.14705882352941177</x:v>
      </x:c>
      <x:c r="L14" s="28" t="n">
        <x:f>IFERROR(F14/B14,0)</x:f>
        <x:v>0.9411764705882353</x:v>
      </x:c>
      <x:c r="M14" s="28" t="n">
        <x:f>IFERROR(H14/I14,0)</x:f>
        <x:v>0.15625</x:v>
      </x:c>
      <x:c r="N14" s="24" t="str">
        <x:f>TEXT(A14,"mmm d")</x:f>
        <x:v>Oct 31</x:v>
      </x:c>
    </x:row>
    <x:row r="15">
      <x:c r="A15" s="31" t="n">
        <x:v>44872</x:v>
      </x:c>
      <x:c r="B15" s="27" t="n">
        <x:v>40</x:v>
      </x:c>
      <x:c r="C15" s="29" t="n">
        <x:v>4.1</x:v>
      </x:c>
      <x:c r="D15" s="27" t="n">
        <x:v>30</x:v>
      </x:c>
      <x:c r="E15" s="27" t="n">
        <x:v>6</x:v>
      </x:c>
      <x:c r="F15" s="27" t="n">
        <x:v>31</x:v>
      </x:c>
      <x:c r="G15" s="27" t="n">
        <x:v>34</x:v>
      </x:c>
      <x:c r="H15" s="27" t="n">
        <x:v>10</x:v>
      </x:c>
      <x:c r="I15" s="27" t="n">
        <x:v>39</x:v>
      </x:c>
      <x:c r="J15" s="28" t="n">
        <x:f>IFERROR(D15/B15,0)</x:f>
        <x:v>0.75</x:v>
      </x:c>
      <x:c r="K15" s="28" t="n">
        <x:f>IFERROR(E15/B15,0)</x:f>
        <x:v>0.15</x:v>
      </x:c>
      <x:c r="L15" s="28" t="n">
        <x:f>IFERROR(F15/B15,0)</x:f>
        <x:v>0.775</x:v>
      </x:c>
      <x:c r="M15" s="28" t="n">
        <x:f>IFERROR(H15/I15,0)</x:f>
        <x:v>0.2564102564102564</x:v>
      </x:c>
      <x:c r="N15" s="24" t="str">
        <x:f>TEXT(A15,"mmm d")</x:f>
        <x:v>Nov 7</x:v>
      </x:c>
    </x:row>
    <x:row r="16">
      <x:c r="A16" s="31" t="n">
        <x:v>44879</x:v>
      </x:c>
      <x:c r="B16" s="27" t="n">
        <x:v>45</x:v>
      </x:c>
      <x:c r="C16" s="29" t="n">
        <x:v>4.4222222222</x:v>
      </x:c>
      <x:c r="D16" s="27" t="n">
        <x:v>40</x:v>
      </x:c>
      <x:c r="E16" s="27" t="n">
        <x:v>4</x:v>
      </x:c>
      <x:c r="F16" s="27" t="n">
        <x:v>25</x:v>
      </x:c>
      <x:c r="G16" s="27" t="n">
        <x:v>17</x:v>
      </x:c>
      <x:c r="H16" s="27" t="n">
        <x:v>5</x:v>
      </x:c>
      <x:c r="I16" s="27" t="n">
        <x:v>45</x:v>
      </x:c>
      <x:c r="J16" s="28" t="n">
        <x:f>IFERROR(D16/B16,0)</x:f>
        <x:v>0.8888888888888888</x:v>
      </x:c>
      <x:c r="K16" s="28" t="n">
        <x:f>IFERROR(E16/B16,0)</x:f>
        <x:v>0.08888888888888889</x:v>
      </x:c>
      <x:c r="L16" s="28" t="n">
        <x:f>IFERROR(F16/B16,0)</x:f>
        <x:v>0.5555555555555556</x:v>
      </x:c>
      <x:c r="M16" s="28" t="n">
        <x:f>IFERROR(H16/I16,0)</x:f>
        <x:v>0.1111111111111111</x:v>
      </x:c>
      <x:c r="N16" s="24" t="str">
        <x:f>TEXT(A16,"mmm d")</x:f>
        <x:v>Nov 14</x:v>
      </x:c>
    </x:row>
    <x:row r="17">
      <x:c r="A17" s="31" t="n">
        <x:v>44886</x:v>
      </x:c>
      <x:c r="B17" s="27" t="n">
        <x:v>26</x:v>
      </x:c>
      <x:c r="C17" s="29" t="n">
        <x:v>4.2307692308</x:v>
      </x:c>
      <x:c r="D17" s="27" t="n">
        <x:v>19</x:v>
      </x:c>
      <x:c r="E17" s="27" t="n">
        <x:v>3</x:v>
      </x:c>
      <x:c r="F17" s="27" t="n">
        <x:v>17</x:v>
      </x:c>
      <x:c r="G17" s="27" t="n">
        <x:v>8</x:v>
      </x:c>
      <x:c r="H17" s="27" t="n">
        <x:v>7</x:v>
      </x:c>
      <x:c r="I17" s="27" t="n">
        <x:v>26</x:v>
      </x:c>
      <x:c r="J17" s="28" t="n">
        <x:f>IFERROR(D17/B17,0)</x:f>
        <x:v>0.7307692307692307</x:v>
      </x:c>
      <x:c r="K17" s="28" t="n">
        <x:f>IFERROR(E17/B17,0)</x:f>
        <x:v>0.11538461538461539</x:v>
      </x:c>
      <x:c r="L17" s="28" t="n">
        <x:f>IFERROR(F17/B17,0)</x:f>
        <x:v>0.6538461538461539</x:v>
      </x:c>
      <x:c r="M17" s="28" t="n">
        <x:f>IFERROR(H17/I17,0)</x:f>
        <x:v>0.2692307692307692</x:v>
      </x:c>
      <x:c r="N17" s="24" t="str">
        <x:f>TEXT(A17,"mmm d")</x:f>
        <x:v>Nov 21</x:v>
      </x:c>
    </x:row>
    <x:row r="18">
      <x:c r="A18" s="31" t="n">
        <x:v>44893</x:v>
      </x:c>
      <x:c r="B18" s="27" t="n">
        <x:v>41</x:v>
      </x:c>
      <x:c r="C18" s="29" t="n">
        <x:v>3.9268292683</x:v>
      </x:c>
      <x:c r="D18" s="27" t="n">
        <x:v>28</x:v>
      </x:c>
      <x:c r="E18" s="27" t="n">
        <x:v>8</x:v>
      </x:c>
      <x:c r="F18" s="27" t="n">
        <x:v>38</x:v>
      </x:c>
      <x:c r="G18" s="27" t="n">
        <x:v>18</x:v>
      </x:c>
      <x:c r="H18" s="27" t="n">
        <x:v>5</x:v>
      </x:c>
      <x:c r="I18" s="27" t="n">
        <x:v>40</x:v>
      </x:c>
      <x:c r="J18" s="28" t="n">
        <x:f>IFERROR(D18/B18,0)</x:f>
        <x:v>0.6829268292682927</x:v>
      </x:c>
      <x:c r="K18" s="28" t="n">
        <x:f>IFERROR(E18/B18,0)</x:f>
        <x:v>0.1951219512195122</x:v>
      </x:c>
      <x:c r="L18" s="28" t="n">
        <x:f>IFERROR(F18/B18,0)</x:f>
        <x:v>0.926829268292683</x:v>
      </x:c>
      <x:c r="M18" s="28" t="n">
        <x:f>IFERROR(H18/I18,0)</x:f>
        <x:v>0.125</x:v>
      </x:c>
      <x:c r="N18" s="24" t="str">
        <x:f>TEXT(A18,"mmm d")</x:f>
        <x:v>Nov 28</x:v>
      </x:c>
    </x:row>
    <x:row r="19">
      <x:c r="A19" s="31" t="n">
        <x:v>44900</x:v>
      </x:c>
      <x:c r="B19" s="27" t="n">
        <x:v>33</x:v>
      </x:c>
      <x:c r="C19" s="29" t="n">
        <x:v>3.8484848485</x:v>
      </x:c>
      <x:c r="D19" s="27" t="n">
        <x:v>23</x:v>
      </x:c>
      <x:c r="E19" s="27" t="n">
        <x:v>8</x:v>
      </x:c>
      <x:c r="F19" s="27" t="n">
        <x:v>32</x:v>
      </x:c>
      <x:c r="G19" s="27" t="n">
        <x:v>31</x:v>
      </x:c>
      <x:c r="H19" s="27" t="n">
        <x:v>5</x:v>
      </x:c>
      <x:c r="I19" s="27" t="n">
        <x:v>29</x:v>
      </x:c>
      <x:c r="J19" s="28" t="n">
        <x:f>IFERROR(D19/B19,0)</x:f>
        <x:v>0.696969696969697</x:v>
      </x:c>
      <x:c r="K19" s="28" t="n">
        <x:f>IFERROR(E19/B19,0)</x:f>
        <x:v>0.24242424242424243</x:v>
      </x:c>
      <x:c r="L19" s="28" t="n">
        <x:f>IFERROR(F19/B19,0)</x:f>
        <x:v>0.9696969696969697</x:v>
      </x:c>
      <x:c r="M19" s="28" t="n">
        <x:f>IFERROR(H19/I19,0)</x:f>
        <x:v>0.1724137931034483</x:v>
      </x:c>
      <x:c r="N19" s="24" t="str">
        <x:f>TEXT(A19,"mmm d")</x:f>
        <x:v>Dec 5</x:v>
      </x:c>
    </x:row>
    <x:row r="20">
      <x:c r="A20" s="31" t="n">
        <x:v>44907</x:v>
      </x:c>
      <x:c r="B20" s="27" t="n">
        <x:v>45</x:v>
      </x:c>
      <x:c r="C20" s="29" t="n">
        <x:v>3.7111111111</x:v>
      </x:c>
      <x:c r="D20" s="27" t="n">
        <x:v>29</x:v>
      </x:c>
      <x:c r="E20" s="27" t="n">
        <x:v>15</x:v>
      </x:c>
      <x:c r="F20" s="27" t="n">
        <x:v>37</x:v>
      </x:c>
      <x:c r="G20" s="27" t="n">
        <x:v>13</x:v>
      </x:c>
      <x:c r="H20" s="27" t="n">
        <x:v>9</x:v>
      </x:c>
      <x:c r="I20" s="27" t="n">
        <x:v>43</x:v>
      </x:c>
      <x:c r="J20" s="28" t="n">
        <x:f>IFERROR(D20/B20,0)</x:f>
        <x:v>0.6444444444444445</x:v>
      </x:c>
      <x:c r="K20" s="28" t="n">
        <x:f>IFERROR(E20/B20,0)</x:f>
        <x:v>0.3333333333333333</x:v>
      </x:c>
      <x:c r="L20" s="28" t="n">
        <x:f>IFERROR(F20/B20,0)</x:f>
        <x:v>0.8222222222222222</x:v>
      </x:c>
      <x:c r="M20" s="28" t="n">
        <x:f>IFERROR(H20/I20,0)</x:f>
        <x:v>0.20930232558139536</x:v>
      </x:c>
      <x:c r="N20" s="24" t="str">
        <x:f>TEXT(A20,"mmm d")</x:f>
        <x:v>Dec 12</x:v>
      </x:c>
    </x:row>
    <x:row r="21">
      <x:c r="A21" s="31" t="n">
        <x:v>44914</x:v>
      </x:c>
      <x:c r="B21" s="27" t="n">
        <x:v>52</x:v>
      </x:c>
      <x:c r="C21" s="29" t="n">
        <x:v>4.0769230769</x:v>
      </x:c>
      <x:c r="D21" s="27" t="n">
        <x:v>38</x:v>
      </x:c>
      <x:c r="E21" s="27" t="n">
        <x:v>10</x:v>
      </x:c>
      <x:c r="F21" s="27" t="n">
        <x:v>45</x:v>
      </x:c>
      <x:c r="G21" s="27" t="n">
        <x:v>24</x:v>
      </x:c>
      <x:c r="H21" s="27" t="n">
        <x:v>12</x:v>
      </x:c>
      <x:c r="I21" s="27" t="n">
        <x:v>52</x:v>
      </x:c>
      <x:c r="J21" s="28" t="n">
        <x:f>IFERROR(D21/B21,0)</x:f>
        <x:v>0.7307692307692307</x:v>
      </x:c>
      <x:c r="K21" s="28" t="n">
        <x:f>IFERROR(E21/B21,0)</x:f>
        <x:v>0.19230769230769232</x:v>
      </x:c>
      <x:c r="L21" s="28" t="n">
        <x:f>IFERROR(F21/B21,0)</x:f>
        <x:v>0.8653846153846154</x:v>
      </x:c>
      <x:c r="M21" s="28" t="n">
        <x:f>IFERROR(H21/I21,0)</x:f>
        <x:v>0.23076923076923078</x:v>
      </x:c>
      <x:c r="N21" s="24" t="str">
        <x:f>TEXT(A21,"mmm d")</x:f>
        <x:v>Dec 19</x:v>
      </x:c>
    </x:row>
    <x:row r="22">
      <x:c r="A22" s="31" t="n">
        <x:v>44921</x:v>
      </x:c>
      <x:c r="B22" s="27" t="n">
        <x:v>42</x:v>
      </x:c>
      <x:c r="C22" s="29" t="n">
        <x:v>4.2857142857</x:v>
      </x:c>
      <x:c r="D22" s="27" t="n">
        <x:v>34</x:v>
      </x:c>
      <x:c r="E22" s="27" t="n">
        <x:v>6</x:v>
      </x:c>
      <x:c r="F22" s="27" t="n">
        <x:v>36</x:v>
      </x:c>
      <x:c r="G22" s="27" t="n">
        <x:v>24</x:v>
      </x:c>
      <x:c r="H22" s="27" t="n">
        <x:v>4</x:v>
      </x:c>
      <x:c r="I22" s="27" t="n">
        <x:v>41</x:v>
      </x:c>
      <x:c r="J22" s="28" t="n">
        <x:f>IFERROR(D22/B22,0)</x:f>
        <x:v>0.8095238095238095</x:v>
      </x:c>
      <x:c r="K22" s="28" t="n">
        <x:f>IFERROR(E22/B22,0)</x:f>
        <x:v>0.14285714285714285</x:v>
      </x:c>
      <x:c r="L22" s="28" t="n">
        <x:f>IFERROR(F22/B22,0)</x:f>
        <x:v>0.8571428571428571</x:v>
      </x:c>
      <x:c r="M22" s="28" t="n">
        <x:f>IFERROR(H22/I22,0)</x:f>
        <x:v>0.0975609756097561</x:v>
      </x:c>
      <x:c r="N22" s="24" t="str">
        <x:f>TEXT(A22,"mmm d")</x:f>
        <x:v>Dec 26</x:v>
      </x:c>
    </x:row>
    <x:row r="23">
      <x:c r="A23" s="31" t="n">
        <x:v>44928</x:v>
      </x:c>
      <x:c r="B23" s="27" t="n">
        <x:v>51</x:v>
      </x:c>
      <x:c r="C23" s="29" t="n">
        <x:v>3.9607843137</x:v>
      </x:c>
      <x:c r="D23" s="27" t="n">
        <x:v>38</x:v>
      </x:c>
      <x:c r="E23" s="27" t="n">
        <x:v>11</x:v>
      </x:c>
      <x:c r="F23" s="27" t="n">
        <x:v>47</x:v>
      </x:c>
      <x:c r="G23" s="27" t="n">
        <x:v>28</x:v>
      </x:c>
      <x:c r="H23" s="27" t="n">
        <x:v>5</x:v>
      </x:c>
      <x:c r="I23" s="27" t="n">
        <x:v>48</x:v>
      </x:c>
      <x:c r="J23" s="28" t="n">
        <x:f>IFERROR(D23/B23,0)</x:f>
        <x:v>0.7450980392156863</x:v>
      </x:c>
      <x:c r="K23" s="28" t="n">
        <x:f>IFERROR(E23/B23,0)</x:f>
        <x:v>0.21568627450980393</x:v>
      </x:c>
      <x:c r="L23" s="28" t="n">
        <x:f>IFERROR(F23/B23,0)</x:f>
        <x:v>0.9215686274509803</x:v>
      </x:c>
      <x:c r="M23" s="28" t="n">
        <x:f>IFERROR(H23/I23,0)</x:f>
        <x:v>0.10416666666666667</x:v>
      </x:c>
      <x:c r="N23" s="24" t="str">
        <x:f>TEXT(A23,"mmm d")</x:f>
        <x:v>Jan 2</x:v>
      </x:c>
    </x:row>
    <x:row r="24">
      <x:c r="A24" s="31" t="n">
        <x:v>44935</x:v>
      </x:c>
      <x:c r="B24" s="27" t="n">
        <x:v>46</x:v>
      </x:c>
      <x:c r="C24" s="29" t="n">
        <x:v>3.9782608696</x:v>
      </x:c>
      <x:c r="D24" s="27" t="n">
        <x:v>34</x:v>
      </x:c>
      <x:c r="E24" s="27" t="n">
        <x:v>11</x:v>
      </x:c>
      <x:c r="F24" s="27" t="n">
        <x:v>45</x:v>
      </x:c>
      <x:c r="G24" s="27" t="n">
        <x:v>39</x:v>
      </x:c>
      <x:c r="H24" s="27" t="n">
        <x:v>9</x:v>
      </x:c>
      <x:c r="I24" s="27" t="n">
        <x:v>44</x:v>
      </x:c>
      <x:c r="J24" s="28" t="n">
        <x:f>IFERROR(D24/B24,0)</x:f>
        <x:v>0.7391304347826086</x:v>
      </x:c>
      <x:c r="K24" s="28" t="n">
        <x:f>IFERROR(E24/B24,0)</x:f>
        <x:v>0.2391304347826087</x:v>
      </x:c>
      <x:c r="L24" s="28" t="n">
        <x:f>IFERROR(F24/B24,0)</x:f>
        <x:v>0.9782608695652174</x:v>
      </x:c>
      <x:c r="M24" s="28" t="n">
        <x:f>IFERROR(H24/I24,0)</x:f>
        <x:v>0.20454545454545456</x:v>
      </x:c>
      <x:c r="N24" s="24" t="str">
        <x:f>TEXT(A24,"mmm d")</x:f>
        <x:v>Jan 9</x:v>
      </x:c>
    </x:row>
    <x:row r="25">
      <x:c r="A25" s="31" t="n">
        <x:v>44942</x:v>
      </x:c>
      <x:c r="B25" s="27" t="n">
        <x:v>38</x:v>
      </x:c>
      <x:c r="C25" s="29" t="n">
        <x:v>4.2631578947</x:v>
      </x:c>
      <x:c r="D25" s="27" t="n">
        <x:v>30</x:v>
      </x:c>
      <x:c r="E25" s="27" t="n">
        <x:v>5</x:v>
      </x:c>
      <x:c r="F25" s="27" t="n">
        <x:v>37</x:v>
      </x:c>
      <x:c r="G25" s="27" t="n">
        <x:v>12</x:v>
      </x:c>
      <x:c r="H25" s="27" t="n">
        <x:v>4</x:v>
      </x:c>
      <x:c r="I25" s="27" t="n">
        <x:v>37</x:v>
      </x:c>
      <x:c r="J25" s="28" t="n">
        <x:f>IFERROR(D25/B25,0)</x:f>
        <x:v>0.7894736842105263</x:v>
      </x:c>
      <x:c r="K25" s="28" t="n">
        <x:f>IFERROR(E25/B25,0)</x:f>
        <x:v>0.13157894736842105</x:v>
      </x:c>
      <x:c r="L25" s="28" t="n">
        <x:f>IFERROR(F25/B25,0)</x:f>
        <x:v>0.9736842105263158</x:v>
      </x:c>
      <x:c r="M25" s="28" t="n">
        <x:f>IFERROR(H25/I25,0)</x:f>
        <x:v>0.10810810810810811</x:v>
      </x:c>
      <x:c r="N25" s="24" t="str">
        <x:f>TEXT(A25,"mmm d")</x:f>
        <x:v>Jan 16</x:v>
      </x:c>
    </x:row>
    <x:row r="26">
      <x:c r="A26" s="31" t="n">
        <x:v>44949</x:v>
      </x:c>
      <x:c r="B26" s="27" t="n">
        <x:v>38</x:v>
      </x:c>
      <x:c r="C26" s="29" t="n">
        <x:v>3.8684210526</x:v>
      </x:c>
      <x:c r="D26" s="27" t="n">
        <x:v>28</x:v>
      </x:c>
      <x:c r="E26" s="27" t="n">
        <x:v>9</x:v>
      </x:c>
      <x:c r="F26" s="27" t="n">
        <x:v>34</x:v>
      </x:c>
      <x:c r="G26" s="27" t="n">
        <x:v>23</x:v>
      </x:c>
      <x:c r="H26" s="27" t="n">
        <x:v>6</x:v>
      </x:c>
      <x:c r="I26" s="27" t="n">
        <x:v>36</x:v>
      </x:c>
      <x:c r="J26" s="28" t="n">
        <x:f>IFERROR(D26/B26,0)</x:f>
        <x:v>0.7368421052631579</x:v>
      </x:c>
      <x:c r="K26" s="28" t="n">
        <x:f>IFERROR(E26/B26,0)</x:f>
        <x:v>0.23684210526315788</x:v>
      </x:c>
      <x:c r="L26" s="28" t="n">
        <x:f>IFERROR(F26/B26,0)</x:f>
        <x:v>0.8947368421052632</x:v>
      </x:c>
      <x:c r="M26" s="28" t="n">
        <x:f>IFERROR(H26/I26,0)</x:f>
        <x:v>0.16666666666666666</x:v>
      </x:c>
      <x:c r="N26" s="24" t="str">
        <x:f>TEXT(A26,"mmm d")</x:f>
        <x:v>Jan 23</x:v>
      </x:c>
    </x:row>
    <x:row r="27">
      <x:c r="A27" s="31" t="n">
        <x:v>44956</x:v>
      </x:c>
      <x:c r="B27" s="27" t="n">
        <x:v>28</x:v>
      </x:c>
      <x:c r="C27" s="29" t="n">
        <x:v>3.8214285714</x:v>
      </x:c>
      <x:c r="D27" s="27" t="n">
        <x:v>19</x:v>
      </x:c>
      <x:c r="E27" s="27" t="n">
        <x:v>8</x:v>
      </x:c>
      <x:c r="F27" s="27" t="n">
        <x:v>24</x:v>
      </x:c>
      <x:c r="G27" s="27" t="n">
        <x:v>16</x:v>
      </x:c>
      <x:c r="H27" s="27" t="n">
        <x:v>4</x:v>
      </x:c>
      <x:c r="I27" s="27" t="n">
        <x:v>27</x:v>
      </x:c>
      <x:c r="J27" s="28" t="n">
        <x:f>IFERROR(D27/B27,0)</x:f>
        <x:v>0.6785714285714286</x:v>
      </x:c>
      <x:c r="K27" s="28" t="n">
        <x:f>IFERROR(E27/B27,0)</x:f>
        <x:v>0.2857142857142857</x:v>
      </x:c>
      <x:c r="L27" s="28" t="n">
        <x:f>IFERROR(F27/B27,0)</x:f>
        <x:v>0.8571428571428571</x:v>
      </x:c>
      <x:c r="M27" s="28" t="n">
        <x:f>IFERROR(H27/I27,0)</x:f>
        <x:v>0.14814814814814814</x:v>
      </x:c>
      <x:c r="N27" s="24" t="str">
        <x:f>TEXT(A27,"mmm d")</x:f>
        <x:v>Jan 30</x:v>
      </x:c>
    </x:row>
    <x:row r="28">
      <x:c r="A28" s="31" t="n">
        <x:v>44963</x:v>
      </x:c>
      <x:c r="B28" s="27" t="n">
        <x:v>27</x:v>
      </x:c>
      <x:c r="C28" s="29" t="n">
        <x:v>4.2222222222</x:v>
      </x:c>
      <x:c r="D28" s="27" t="n">
        <x:v>21</x:v>
      </x:c>
      <x:c r="E28" s="27" t="n">
        <x:v>2</x:v>
      </x:c>
      <x:c r="F28" s="27" t="n">
        <x:v>25</x:v>
      </x:c>
      <x:c r="G28" s="27" t="n">
        <x:v>12</x:v>
      </x:c>
      <x:c r="H28" s="27" t="n">
        <x:v>5</x:v>
      </x:c>
      <x:c r="I28" s="27" t="n">
        <x:v>27</x:v>
      </x:c>
      <x:c r="J28" s="28" t="n">
        <x:f>IFERROR(D28/B28,0)</x:f>
        <x:v>0.7777777777777778</x:v>
      </x:c>
      <x:c r="K28" s="28" t="n">
        <x:f>IFERROR(E28/B28,0)</x:f>
        <x:v>0.07407407407407407</x:v>
      </x:c>
      <x:c r="L28" s="28" t="n">
        <x:f>IFERROR(F28/B28,0)</x:f>
        <x:v>0.9259259259259259</x:v>
      </x:c>
      <x:c r="M28" s="28" t="n">
        <x:f>IFERROR(H28/I28,0)</x:f>
        <x:v>0.18518518518518517</x:v>
      </x:c>
      <x:c r="N28" s="24" t="str">
        <x:f>TEXT(A28,"mmm d")</x:f>
        <x:v>Feb 6</x:v>
      </x:c>
    </x:row>
    <x:row r="29">
      <x:c r="A29" s="31" t="n">
        <x:v>44970</x:v>
      </x:c>
      <x:c r="B29" s="27" t="n">
        <x:v>26</x:v>
      </x:c>
      <x:c r="C29" s="29" t="n">
        <x:v>4.3461538462</x:v>
      </x:c>
      <x:c r="D29" s="27" t="n">
        <x:v>20</x:v>
      </x:c>
      <x:c r="E29" s="27" t="n">
        <x:v>3</x:v>
      </x:c>
      <x:c r="F29" s="27" t="n">
        <x:v>26</x:v>
      </x:c>
      <x:c r="G29" s="27" t="n">
        <x:v>3</x:v>
      </x:c>
      <x:c r="H29" s="27" t="n">
        <x:v>2</x:v>
      </x:c>
      <x:c r="I29" s="27" t="n">
        <x:v>26</x:v>
      </x:c>
      <x:c r="J29" s="28" t="n">
        <x:f>IFERROR(D29/B29,0)</x:f>
        <x:v>0.7692307692307693</x:v>
      </x:c>
      <x:c r="K29" s="28" t="n">
        <x:f>IFERROR(E29/B29,0)</x:f>
        <x:v>0.11538461538461539</x:v>
      </x:c>
      <x:c r="L29" s="28" t="n">
        <x:f>IFERROR(F29/B29,0)</x:f>
        <x:v>1</x:v>
      </x:c>
      <x:c r="M29" s="28" t="n">
        <x:f>IFERROR(H29/I29,0)</x:f>
        <x:v>0.07692307692307693</x:v>
      </x:c>
      <x:c r="N29" s="24" t="str">
        <x:f>TEXT(A29,"mmm d")</x:f>
        <x:v>Feb 13</x:v>
      </x:c>
    </x:row>
    <x:row r="30">
      <x:c r="A30" s="31" t="n">
        <x:v>44977</x:v>
      </x:c>
      <x:c r="B30" s="27" t="n">
        <x:v>32</x:v>
      </x:c>
      <x:c r="C30" s="29" t="n">
        <x:v>4.1875</x:v>
      </x:c>
      <x:c r="D30" s="27" t="n">
        <x:v>25</x:v>
      </x:c>
      <x:c r="E30" s="27" t="n">
        <x:v>5</x:v>
      </x:c>
      <x:c r="F30" s="27" t="n">
        <x:v>30</x:v>
      </x:c>
      <x:c r="G30" s="27" t="n">
        <x:v>7</x:v>
      </x:c>
      <x:c r="H30" s="27" t="n">
        <x:v>2</x:v>
      </x:c>
      <x:c r="I30" s="27" t="n">
        <x:v>32</x:v>
      </x:c>
      <x:c r="J30" s="28" t="n">
        <x:f>IFERROR(D30/B30,0)</x:f>
        <x:v>0.78125</x:v>
      </x:c>
      <x:c r="K30" s="28" t="n">
        <x:f>IFERROR(E30/B30,0)</x:f>
        <x:v>0.15625</x:v>
      </x:c>
      <x:c r="L30" s="28" t="n">
        <x:f>IFERROR(F30/B30,0)</x:f>
        <x:v>0.9375</x:v>
      </x:c>
      <x:c r="M30" s="28" t="n">
        <x:f>IFERROR(H30/I30,0)</x:f>
        <x:v>0.0625</x:v>
      </x:c>
      <x:c r="N30" s="24" t="str">
        <x:f>TEXT(A30,"mmm d")</x:f>
        <x:v>Feb 20</x:v>
      </x:c>
    </x:row>
    <x:row r="31">
      <x:c r="A31" s="31" t="n">
        <x:v>44984</x:v>
      </x:c>
      <x:c r="B31" s="27" t="n">
        <x:v>35</x:v>
      </x:c>
      <x:c r="C31" s="29" t="n">
        <x:v>3.8571428571</x:v>
      </x:c>
      <x:c r="D31" s="27" t="n">
        <x:v>23</x:v>
      </x:c>
      <x:c r="E31" s="27" t="n">
        <x:v>9</x:v>
      </x:c>
      <x:c r="F31" s="27" t="n">
        <x:v>33</x:v>
      </x:c>
      <x:c r="G31" s="27" t="n">
        <x:v>7</x:v>
      </x:c>
      <x:c r="H31" s="27" t="n">
        <x:v>2</x:v>
      </x:c>
      <x:c r="I31" s="27" t="n">
        <x:v>34</x:v>
      </x:c>
      <x:c r="J31" s="28" t="n">
        <x:f>IFERROR(D31/B31,0)</x:f>
        <x:v>0.6571428571428571</x:v>
      </x:c>
      <x:c r="K31" s="28" t="n">
        <x:f>IFERROR(E31/B31,0)</x:f>
        <x:v>0.2571428571428571</x:v>
      </x:c>
      <x:c r="L31" s="28" t="n">
        <x:f>IFERROR(F31/B31,0)</x:f>
        <x:v>0.9428571428571428</x:v>
      </x:c>
      <x:c r="M31" s="28" t="n">
        <x:f>IFERROR(H31/I31,0)</x:f>
        <x:v>0.058823529411764705</x:v>
      </x:c>
      <x:c r="N31" s="24" t="str">
        <x:f>TEXT(A31,"mmm d")</x:f>
        <x:v>Feb 27</x:v>
      </x:c>
    </x:row>
    <x:row r="32">
      <x:c r="A32" s="31" t="n">
        <x:v>44991</x:v>
      </x:c>
      <x:c r="B32" s="27" t="n">
        <x:v>44</x:v>
      </x:c>
      <x:c r="C32" s="29" t="n">
        <x:v>4.4090909091</x:v>
      </x:c>
      <x:c r="D32" s="27" t="n">
        <x:v>36</x:v>
      </x:c>
      <x:c r="E32" s="27" t="n">
        <x:v>4</x:v>
      </x:c>
      <x:c r="F32" s="27" t="n">
        <x:v>43</x:v>
      </x:c>
      <x:c r="G32" s="27" t="n">
        <x:v>2</x:v>
      </x:c>
      <x:c r="H32" s="27" t="n">
        <x:v>9</x:v>
      </x:c>
      <x:c r="I32" s="27" t="n">
        <x:v>44</x:v>
      </x:c>
      <x:c r="J32" s="28" t="n">
        <x:f>IFERROR(D32/B32,0)</x:f>
        <x:v>0.8181818181818182</x:v>
      </x:c>
      <x:c r="K32" s="28" t="n">
        <x:f>IFERROR(E32/B32,0)</x:f>
        <x:v>0.09090909090909091</x:v>
      </x:c>
      <x:c r="L32" s="28" t="n">
        <x:f>IFERROR(F32/B32,0)</x:f>
        <x:v>0.9772727272727273</x:v>
      </x:c>
      <x:c r="M32" s="28" t="n">
        <x:f>IFERROR(H32/I32,0)</x:f>
        <x:v>0.20454545454545456</x:v>
      </x:c>
      <x:c r="N32" s="24" t="str">
        <x:f>TEXT(A32,"mmm d")</x:f>
        <x:v>Mar 6</x:v>
      </x:c>
    </x:row>
    <x:row r="33">
      <x:c r="A33" s="31" t="n">
        <x:v>44998</x:v>
      </x:c>
      <x:c r="B33" s="27" t="n">
        <x:v>31</x:v>
      </x:c>
      <x:c r="C33" s="29" t="n">
        <x:v>4</x:v>
      </x:c>
      <x:c r="D33" s="27" t="n">
        <x:v>22</x:v>
      </x:c>
      <x:c r="E33" s="27" t="n">
        <x:v>8</x:v>
      </x:c>
      <x:c r="F33" s="27" t="n">
        <x:v>29</x:v>
      </x:c>
      <x:c r="G33" s="27" t="n">
        <x:v>5</x:v>
      </x:c>
      <x:c r="H33" s="27" t="n">
        <x:v>4</x:v>
      </x:c>
      <x:c r="I33" s="27" t="n">
        <x:v>30</x:v>
      </x:c>
      <x:c r="J33" s="28" t="n">
        <x:f>IFERROR(D33/B33,0)</x:f>
        <x:v>0.7096774193548387</x:v>
      </x:c>
      <x:c r="K33" s="28" t="n">
        <x:f>IFERROR(E33/B33,0)</x:f>
        <x:v>0.25806451612903225</x:v>
      </x:c>
      <x:c r="L33" s="28" t="n">
        <x:f>IFERROR(F33/B33,0)</x:f>
        <x:v>0.9354838709677419</x:v>
      </x:c>
      <x:c r="M33" s="28" t="n">
        <x:f>IFERROR(H33/I33,0)</x:f>
        <x:v>0.13333333333333333</x:v>
      </x:c>
      <x:c r="N33" s="24" t="str">
        <x:f>TEXT(A33,"mmm d")</x:f>
        <x:v>Mar 13</x:v>
      </x:c>
    </x:row>
    <x:row r="34">
      <x:c r="A34" s="31" t="n">
        <x:v>45005</x:v>
      </x:c>
      <x:c r="B34" s="27" t="n">
        <x:v>33</x:v>
      </x:c>
      <x:c r="C34" s="29" t="n">
        <x:v>3.8484848485</x:v>
      </x:c>
      <x:c r="D34" s="27" t="n">
        <x:v>24</x:v>
      </x:c>
      <x:c r="E34" s="27" t="n">
        <x:v>9</x:v>
      </x:c>
      <x:c r="F34" s="27" t="n">
        <x:v>31</x:v>
      </x:c>
      <x:c r="G34" s="27" t="n">
        <x:v>8</x:v>
      </x:c>
      <x:c r="H34" s="27" t="n">
        <x:v>6</x:v>
      </x:c>
      <x:c r="I34" s="27" t="n">
        <x:v>32</x:v>
      </x:c>
      <x:c r="J34" s="28" t="n">
        <x:f>IFERROR(D34/B34,0)</x:f>
        <x:v>0.7272727272727273</x:v>
      </x:c>
      <x:c r="K34" s="28" t="n">
        <x:f>IFERROR(E34/B34,0)</x:f>
        <x:v>0.2727272727272727</x:v>
      </x:c>
      <x:c r="L34" s="28" t="n">
        <x:f>IFERROR(F34/B34,0)</x:f>
        <x:v>0.9393939393939394</x:v>
      </x:c>
      <x:c r="M34" s="28" t="n">
        <x:f>IFERROR(H34/I34,0)</x:f>
        <x:v>0.1875</x:v>
      </x:c>
      <x:c r="N34" s="24" t="str">
        <x:f>TEXT(A34,"mmm d")</x:f>
        <x:v>Mar 20</x:v>
      </x:c>
    </x:row>
    <x:row r="35">
      <x:c r="A35" s="31" t="n">
        <x:v>45012</x:v>
      </x:c>
      <x:c r="B35" s="27" t="n">
        <x:v>33</x:v>
      </x:c>
      <x:c r="C35" s="29" t="n">
        <x:v>4</x:v>
      </x:c>
      <x:c r="D35" s="27" t="n">
        <x:v>25</x:v>
      </x:c>
      <x:c r="E35" s="27" t="n">
        <x:v>6</x:v>
      </x:c>
      <x:c r="F35" s="27" t="n">
        <x:v>33</x:v>
      </x:c>
      <x:c r="G35" s="27" t="n">
        <x:v>4</x:v>
      </x:c>
      <x:c r="H35" s="27" t="n">
        <x:v>7</x:v>
      </x:c>
      <x:c r="I35" s="27" t="n">
        <x:v>31</x:v>
      </x:c>
      <x:c r="J35" s="28" t="n">
        <x:f>IFERROR(D35/B35,0)</x:f>
        <x:v>0.7575757575757576</x:v>
      </x:c>
      <x:c r="K35" s="28" t="n">
        <x:f>IFERROR(E35/B35,0)</x:f>
        <x:v>0.18181818181818182</x:v>
      </x:c>
      <x:c r="L35" s="28" t="n">
        <x:f>IFERROR(F35/B35,0)</x:f>
        <x:v>1</x:v>
      </x:c>
      <x:c r="M35" s="28" t="n">
        <x:f>IFERROR(H35/I35,0)</x:f>
        <x:v>0.22580645161290322</x:v>
      </x:c>
      <x:c r="N35" s="24" t="str">
        <x:f>TEXT(A35,"mmm d")</x:f>
        <x:v>Mar 27</x:v>
      </x:c>
    </x:row>
    <x:row r="36">
      <x:c r="A36" s="31" t="n">
        <x:v>45019</x:v>
      </x:c>
      <x:c r="B36" s="27" t="n">
        <x:v>32</x:v>
      </x:c>
      <x:c r="C36" s="29" t="n">
        <x:v>4.25</x:v>
      </x:c>
      <x:c r="D36" s="27" t="n">
        <x:v>26</x:v>
      </x:c>
      <x:c r="E36" s="27" t="n">
        <x:v>6</x:v>
      </x:c>
      <x:c r="F36" s="27" t="n">
        <x:v>32</x:v>
      </x:c>
      <x:c r="G36" s="27" t="n">
        <x:v>4</x:v>
      </x:c>
      <x:c r="H36" s="27" t="n">
        <x:v>5</x:v>
      </x:c>
      <x:c r="I36" s="27" t="n">
        <x:v>31</x:v>
      </x:c>
      <x:c r="J36" s="28" t="n">
        <x:f>IFERROR(D36/B36,0)</x:f>
        <x:v>0.8125</x:v>
      </x:c>
      <x:c r="K36" s="28" t="n">
        <x:f>IFERROR(E36/B36,0)</x:f>
        <x:v>0.1875</x:v>
      </x:c>
      <x:c r="L36" s="28" t="n">
        <x:f>IFERROR(F36/B36,0)</x:f>
        <x:v>1</x:v>
      </x:c>
      <x:c r="M36" s="28" t="n">
        <x:f>IFERROR(H36/I36,0)</x:f>
        <x:v>0.16129032258064516</x:v>
      </x:c>
      <x:c r="N36" s="24" t="str">
        <x:f>TEXT(A36,"mmm d")</x:f>
        <x:v>Apr 3</x:v>
      </x:c>
    </x:row>
    <x:row r="37">
      <x:c r="A37" s="31" t="n">
        <x:v>45026</x:v>
      </x:c>
      <x:c r="B37" s="27" t="n">
        <x:v>20</x:v>
      </x:c>
      <x:c r="C37" s="29" t="n">
        <x:v>4</x:v>
      </x:c>
      <x:c r="D37" s="27" t="n">
        <x:v>15</x:v>
      </x:c>
      <x:c r="E37" s="27" t="n">
        <x:v>4</x:v>
      </x:c>
      <x:c r="F37" s="27" t="n">
        <x:v>18</x:v>
      </x:c>
      <x:c r="G37" s="27" t="n">
        <x:v>21</x:v>
      </x:c>
      <x:c r="H37" s="27" t="n">
        <x:v>1</x:v>
      </x:c>
      <x:c r="I37" s="27" t="n">
        <x:v>20</x:v>
      </x:c>
      <x:c r="J37" s="28" t="n">
        <x:f>IFERROR(D37/B37,0)</x:f>
        <x:v>0.75</x:v>
      </x:c>
      <x:c r="K37" s="28" t="n">
        <x:f>IFERROR(E37/B37,0)</x:f>
        <x:v>0.2</x:v>
      </x:c>
      <x:c r="L37" s="28" t="n">
        <x:f>IFERROR(F37/B37,0)</x:f>
        <x:v>0.9</x:v>
      </x:c>
      <x:c r="M37" s="28" t="n">
        <x:f>IFERROR(H37/I37,0)</x:f>
        <x:v>0.05</x:v>
      </x:c>
      <x:c r="N37" s="24" t="str">
        <x:f>TEXT(A37,"mmm d")</x:f>
        <x:v>Apr 10</x:v>
      </x:c>
    </x:row>
    <x:row r="38">
      <x:c r="A38" s="31" t="n">
        <x:v>45033</x:v>
      </x:c>
      <x:c r="B38" s="27" t="n">
        <x:v>29</x:v>
      </x:c>
      <x:c r="C38" s="29" t="n">
        <x:v>4.4482758621</x:v>
      </x:c>
      <x:c r="D38" s="27" t="n">
        <x:v>24</x:v>
      </x:c>
      <x:c r="E38" s="27" t="n">
        <x:v>3</x:v>
      </x:c>
      <x:c r="F38" s="27" t="n">
        <x:v>23</x:v>
      </x:c>
      <x:c r="G38" s="27" t="n">
        <x:v>12</x:v>
      </x:c>
      <x:c r="H38" s="27" t="n">
        <x:v>2</x:v>
      </x:c>
      <x:c r="I38" s="27" t="n">
        <x:v>28</x:v>
      </x:c>
      <x:c r="J38" s="28" t="n">
        <x:f>IFERROR(D38/B38,0)</x:f>
        <x:v>0.8275862068965517</x:v>
      </x:c>
      <x:c r="K38" s="28" t="n">
        <x:f>IFERROR(E38/B38,0)</x:f>
        <x:v>0.10344827586206896</x:v>
      </x:c>
      <x:c r="L38" s="28" t="n">
        <x:f>IFERROR(F38/B38,0)</x:f>
        <x:v>0.7931034482758621</x:v>
      </x:c>
      <x:c r="M38" s="28" t="n">
        <x:f>IFERROR(H38/I38,0)</x:f>
        <x:v>0.07142857142857142</x:v>
      </x:c>
      <x:c r="N38" s="24" t="str">
        <x:f>TEXT(A38,"mmm d")</x:f>
        <x:v>Apr 17</x:v>
      </x:c>
    </x:row>
    <x:row r="39">
      <x:c r="A39" s="31" t="n">
        <x:v>45040</x:v>
      </x:c>
      <x:c r="B39" s="27" t="n">
        <x:v>17</x:v>
      </x:c>
      <x:c r="C39" s="29" t="n">
        <x:v>3.8235294118</x:v>
      </x:c>
      <x:c r="D39" s="27" t="n">
        <x:v>10</x:v>
      </x:c>
      <x:c r="E39" s="27" t="n">
        <x:v>4</x:v>
      </x:c>
      <x:c r="F39" s="27" t="n">
        <x:v>15</x:v>
      </x:c>
      <x:c r="G39" s="27" t="n">
        <x:v>12</x:v>
      </x:c>
      <x:c r="H39" s="27" t="n">
        <x:v>1</x:v>
      </x:c>
      <x:c r="I39" s="27" t="n">
        <x:v>17</x:v>
      </x:c>
      <x:c r="J39" s="28" t="n">
        <x:f>IFERROR(D39/B39,0)</x:f>
        <x:v>0.5882352941176471</x:v>
      </x:c>
      <x:c r="K39" s="28" t="n">
        <x:f>IFERROR(E39/B39,0)</x:f>
        <x:v>0.23529411764705882</x:v>
      </x:c>
      <x:c r="L39" s="28" t="n">
        <x:f>IFERROR(F39/B39,0)</x:f>
        <x:v>0.8823529411764706</x:v>
      </x:c>
      <x:c r="M39" s="28" t="n">
        <x:f>IFERROR(H39/I39,0)</x:f>
        <x:v>0.058823529411764705</x:v>
      </x:c>
      <x:c r="N39" s="24" t="str">
        <x:f>TEXT(A39,"mmm d")</x:f>
        <x:v>Apr 24</x:v>
      </x:c>
    </x:row>
    <x:row r="40">
      <x:c r="A40" s="31" t="n">
        <x:v>45047</x:v>
      </x:c>
      <x:c r="B40" s="27" t="n">
        <x:v>22</x:v>
      </x:c>
      <x:c r="C40" s="29" t="n">
        <x:v>3.4545454545</x:v>
      </x:c>
      <x:c r="D40" s="27" t="n">
        <x:v>11</x:v>
      </x:c>
      <x:c r="E40" s="27" t="n">
        <x:v>7</x:v>
      </x:c>
      <x:c r="F40" s="27" t="n">
        <x:v>20</x:v>
      </x:c>
      <x:c r="G40" s="27" t="n">
        <x:v>2</x:v>
      </x:c>
      <x:c r="H40" s="27" t="n">
        <x:v>5</x:v>
      </x:c>
      <x:c r="I40" s="27" t="n">
        <x:v>21</x:v>
      </x:c>
      <x:c r="J40" s="28" t="n">
        <x:f>IFERROR(D40/B40,0)</x:f>
        <x:v>0.5</x:v>
      </x:c>
      <x:c r="K40" s="28" t="n">
        <x:f>IFERROR(E40/B40,0)</x:f>
        <x:v>0.3181818181818182</x:v>
      </x:c>
      <x:c r="L40" s="28" t="n">
        <x:f>IFERROR(F40/B40,0)</x:f>
        <x:v>0.9090909090909091</x:v>
      </x:c>
      <x:c r="M40" s="28" t="n">
        <x:f>IFERROR(H40/I40,0)</x:f>
        <x:v>0.23809523809523808</x:v>
      </x:c>
      <x:c r="N40" s="24" t="str">
        <x:f>TEXT(A40,"mmm d")</x:f>
        <x:v>May 1</x:v>
      </x:c>
    </x:row>
    <x:row r="41">
      <x:c r="A41" s="31" t="n">
        <x:v>45054</x:v>
      </x:c>
      <x:c r="B41" s="27" t="n">
        <x:v>14</x:v>
      </x:c>
      <x:c r="C41" s="29" t="n">
        <x:v>3.8571428571</x:v>
      </x:c>
      <x:c r="D41" s="27" t="n">
        <x:v>10</x:v>
      </x:c>
      <x:c r="E41" s="27" t="n">
        <x:v>4</x:v>
      </x:c>
      <x:c r="F41" s="27" t="n">
        <x:v>13</x:v>
      </x:c>
      <x:c r="G41" s="27" t="n">
        <x:v>6</x:v>
      </x:c>
      <x:c r="H41" s="27" t="n">
        <x:v>4</x:v>
      </x:c>
      <x:c r="I41" s="27" t="n">
        <x:v>12</x:v>
      </x:c>
      <x:c r="J41" s="28" t="n">
        <x:f>IFERROR(D41/B41,0)</x:f>
        <x:v>0.7142857142857143</x:v>
      </x:c>
      <x:c r="K41" s="28" t="n">
        <x:f>IFERROR(E41/B41,0)</x:f>
        <x:v>0.2857142857142857</x:v>
      </x:c>
      <x:c r="L41" s="28" t="n">
        <x:f>IFERROR(F41/B41,0)</x:f>
        <x:v>0.9285714285714286</x:v>
      </x:c>
      <x:c r="M41" s="28" t="n">
        <x:f>IFERROR(H41/I41,0)</x:f>
        <x:v>0.3333333333333333</x:v>
      </x:c>
      <x:c r="N41" s="24" t="str">
        <x:f>TEXT(A41,"mmm d")</x:f>
        <x:v>May 8</x:v>
      </x:c>
    </x:row>
    <x:row r="42">
      <x:c r="A42" s="31" t="n">
        <x:v>45061</x:v>
      </x:c>
      <x:c r="B42" s="27" t="n">
        <x:v>16</x:v>
      </x:c>
      <x:c r="C42" s="29" t="n">
        <x:v>3.25</x:v>
      </x:c>
      <x:c r="D42" s="27" t="n">
        <x:v>8</x:v>
      </x:c>
      <x:c r="E42" s="27" t="n">
        <x:v>6</x:v>
      </x:c>
      <x:c r="F42" s="27" t="n">
        <x:v>16</x:v>
      </x:c>
      <x:c r="G42" s="27" t="n">
        <x:v>7</x:v>
      </x:c>
      <x:c r="H42" s="27" t="n">
        <x:v>2</x:v>
      </x:c>
      <x:c r="I42" s="27" t="n">
        <x:v>16</x:v>
      </x:c>
      <x:c r="J42" s="28" t="n">
        <x:f>IFERROR(D42/B42,0)</x:f>
        <x:v>0.5</x:v>
      </x:c>
      <x:c r="K42" s="28" t="n">
        <x:f>IFERROR(E42/B42,0)</x:f>
        <x:v>0.375</x:v>
      </x:c>
      <x:c r="L42" s="28" t="n">
        <x:f>IFERROR(F42/B42,0)</x:f>
        <x:v>1</x:v>
      </x:c>
      <x:c r="M42" s="28" t="n">
        <x:f>IFERROR(H42/I42,0)</x:f>
        <x:v>0.125</x:v>
      </x:c>
      <x:c r="N42" s="24" t="str">
        <x:f>TEXT(A42,"mmm d")</x:f>
        <x:v>May 15</x:v>
      </x:c>
    </x:row>
    <x:row r="43">
      <x:c r="A43" s="31" t="n">
        <x:v>45068</x:v>
      </x:c>
      <x:c r="B43" s="27" t="n">
        <x:v>17</x:v>
      </x:c>
      <x:c r="C43" s="29" t="n">
        <x:v>2.8235294118</x:v>
      </x:c>
      <x:c r="D43" s="27" t="n">
        <x:v>7</x:v>
      </x:c>
      <x:c r="E43" s="27" t="n">
        <x:v>9</x:v>
      </x:c>
      <x:c r="F43" s="27" t="n">
        <x:v>17</x:v>
      </x:c>
      <x:c r="G43" s="27" t="n">
        <x:v>9</x:v>
      </x:c>
      <x:c r="H43" s="27" t="n">
        <x:v>3</x:v>
      </x:c>
      <x:c r="I43" s="27" t="n">
        <x:v>16</x:v>
      </x:c>
      <x:c r="J43" s="28" t="n">
        <x:f>IFERROR(D43/B43,0)</x:f>
        <x:v>0.4117647058823529</x:v>
      </x:c>
      <x:c r="K43" s="28" t="n">
        <x:f>IFERROR(E43/B43,0)</x:f>
        <x:v>0.5294117647058824</x:v>
      </x:c>
      <x:c r="L43" s="28" t="n">
        <x:f>IFERROR(F43/B43,0)</x:f>
        <x:v>1</x:v>
      </x:c>
      <x:c r="M43" s="28" t="n">
        <x:f>IFERROR(H43/I43,0)</x:f>
        <x:v>0.1875</x:v>
      </x:c>
      <x:c r="N43" s="24" t="str">
        <x:f>TEXT(A43,"mmm d")</x:f>
        <x:v>May 22</x:v>
      </x:c>
    </x:row>
    <x:row r="44">
      <x:c r="A44" s="31" t="n">
        <x:v>45075</x:v>
      </x:c>
      <x:c r="B44" s="27" t="n">
        <x:v>10</x:v>
      </x:c>
      <x:c r="C44" s="29" t="n">
        <x:v>4.3</x:v>
      </x:c>
      <x:c r="D44" s="27" t="n">
        <x:v>8</x:v>
      </x:c>
      <x:c r="E44" s="27" t="n">
        <x:v>1</x:v>
      </x:c>
      <x:c r="F44" s="27" t="n">
        <x:v>10</x:v>
      </x:c>
      <x:c r="G44" s="27" t="n">
        <x:v>10</x:v>
      </x:c>
      <x:c r="H44" s="27" t="n">
        <x:v>1</x:v>
      </x:c>
      <x:c r="I44" s="27" t="n">
        <x:v>10</x:v>
      </x:c>
      <x:c r="J44" s="28" t="n">
        <x:f>IFERROR(D44/B44,0)</x:f>
        <x:v>0.8</x:v>
      </x:c>
      <x:c r="K44" s="28" t="n">
        <x:f>IFERROR(E44/B44,0)</x:f>
        <x:v>0.1</x:v>
      </x:c>
      <x:c r="L44" s="28" t="n">
        <x:f>IFERROR(F44/B44,0)</x:f>
        <x:v>1</x:v>
      </x:c>
      <x:c r="M44" s="28" t="n">
        <x:f>IFERROR(H44/I44,0)</x:f>
        <x:v>0.1</x:v>
      </x:c>
      <x:c r="N44" s="24" t="str">
        <x:f>TEXT(A44,"mmm d")</x:f>
        <x:v>May 29</x:v>
      </x:c>
    </x:row>
    <x:row r="45">
      <x:c r="A45" s="31" t="n">
        <x:v>45082</x:v>
      </x:c>
      <x:c r="B45" s="27" t="n">
        <x:v>10</x:v>
      </x:c>
      <x:c r="C45" s="29" t="n">
        <x:v>3.8</x:v>
      </x:c>
      <x:c r="D45" s="27" t="n">
        <x:v>6</x:v>
      </x:c>
      <x:c r="E45" s="27" t="n">
        <x:v>3</x:v>
      </x:c>
      <x:c r="F45" s="27" t="n">
        <x:v>10</x:v>
      </x:c>
      <x:c r="G45" s="27" t="n">
        <x:v>2</x:v>
      </x:c>
      <x:c r="H45" s="27" t="n">
        <x:v>1</x:v>
      </x:c>
      <x:c r="I45" s="27" t="n">
        <x:v>10</x:v>
      </x:c>
      <x:c r="J45" s="28" t="n">
        <x:f>IFERROR(D45/B45,0)</x:f>
        <x:v>0.6</x:v>
      </x:c>
      <x:c r="K45" s="28" t="n">
        <x:f>IFERROR(E45/B45,0)</x:f>
        <x:v>0.3</x:v>
      </x:c>
      <x:c r="L45" s="28" t="n">
        <x:f>IFERROR(F45/B45,0)</x:f>
        <x:v>1</x:v>
      </x:c>
      <x:c r="M45" s="28" t="n">
        <x:f>IFERROR(H45/I45,0)</x:f>
        <x:v>0.1</x:v>
      </x:c>
      <x:c r="N45" s="24" t="str">
        <x:f>TEXT(A45,"mmm d")</x:f>
        <x:v>Jun 5</x:v>
      </x:c>
    </x:row>
    <x:row r="46">
      <x:c r="A46" s="31" t="n">
        <x:v>45089</x:v>
      </x:c>
      <x:c r="B46" s="27" t="n">
        <x:v>6</x:v>
      </x:c>
      <x:c r="C46" s="29" t="n">
        <x:v>3.1666666667</x:v>
      </x:c>
      <x:c r="D46" s="27" t="n">
        <x:v>3</x:v>
      </x:c>
      <x:c r="E46" s="27" t="n">
        <x:v>2</x:v>
      </x:c>
      <x:c r="F46" s="27" t="n">
        <x:v>6</x:v>
      </x:c>
      <x:c r="G46" s="27" t="n">
        <x:v>1</x:v>
      </x:c>
      <x:c r="H46" s="27" t="n">
        <x:v>1</x:v>
      </x:c>
      <x:c r="I46" s="27" t="n">
        <x:v>6</x:v>
      </x:c>
      <x:c r="J46" s="28" t="n">
        <x:f>IFERROR(D46/B46,0)</x:f>
        <x:v>0.5</x:v>
      </x:c>
      <x:c r="K46" s="28" t="n">
        <x:f>IFERROR(E46/B46,0)</x:f>
        <x:v>0.3333333333333333</x:v>
      </x:c>
      <x:c r="L46" s="28" t="n">
        <x:f>IFERROR(F46/B46,0)</x:f>
        <x:v>1</x:v>
      </x:c>
      <x:c r="M46" s="28" t="n">
        <x:f>IFERROR(H46/I46,0)</x:f>
        <x:v>0.16666666666666666</x:v>
      </x:c>
      <x:c r="N46" s="24" t="str">
        <x:f>TEXT(A46,"mmm d")</x:f>
        <x:v>Jun 12</x:v>
      </x:c>
    </x:row>
    <x:row r="47">
      <x:c r="A47" s="31" t="n">
        <x:v>45096</x:v>
      </x:c>
      <x:c r="B47" s="27" t="n">
        <x:v>7</x:v>
      </x:c>
      <x:c r="C47" s="29" t="n">
        <x:v>3.2857142857</x:v>
      </x:c>
      <x:c r="D47" s="27" t="n">
        <x:v>4</x:v>
      </x:c>
      <x:c r="E47" s="27" t="n">
        <x:v>3</x:v>
      </x:c>
      <x:c r="F47" s="27" t="n">
        <x:v>7</x:v>
      </x:c>
      <x:c r="G47" s="27" t="n">
        <x:v>5</x:v>
      </x:c>
      <x:c r="H47" s="27" t="n">
        <x:v>0</x:v>
      </x:c>
      <x:c r="I47" s="27" t="n">
        <x:v>6</x:v>
      </x:c>
      <x:c r="J47" s="28" t="n">
        <x:f>IFERROR(D47/B47,0)</x:f>
        <x:v>0.5714285714285714</x:v>
      </x:c>
      <x:c r="K47" s="28" t="n">
        <x:f>IFERROR(E47/B47,0)</x:f>
        <x:v>0.42857142857142855</x:v>
      </x:c>
      <x:c r="L47" s="28" t="n">
        <x:f>IFERROR(F47/B47,0)</x:f>
        <x:v>1</x:v>
      </x:c>
      <x:c r="M47" s="28" t="n">
        <x:f>IFERROR(H47/I47,0)</x:f>
        <x:v>0</x:v>
      </x:c>
      <x:c r="N47" s="24" t="str">
        <x:f>TEXT(A47,"mmm d")</x:f>
        <x:v>Jun 19</x:v>
      </x:c>
    </x:row>
    <x:row r="48">
      <x:c r="A48" s="31" t="n">
        <x:v>45103</x:v>
      </x:c>
      <x:c r="B48" s="27" t="n">
        <x:v>9</x:v>
      </x:c>
      <x:c r="C48" s="29" t="n">
        <x:v>3.6666666667</x:v>
      </x:c>
      <x:c r="D48" s="27" t="n">
        <x:v>5</x:v>
      </x:c>
      <x:c r="E48" s="27" t="n">
        <x:v>2</x:v>
      </x:c>
      <x:c r="F48" s="27" t="n">
        <x:v>9</x:v>
      </x:c>
      <x:c r="G48" s="27" t="n">
        <x:v>1</x:v>
      </x:c>
      <x:c r="H48" s="27" t="n">
        <x:v>1</x:v>
      </x:c>
      <x:c r="I48" s="27" t="n">
        <x:v>9</x:v>
      </x:c>
      <x:c r="J48" s="28" t="n">
        <x:f>IFERROR(D48/B48,0)</x:f>
        <x:v>0.5555555555555556</x:v>
      </x:c>
      <x:c r="K48" s="28" t="n">
        <x:f>IFERROR(E48/B48,0)</x:f>
        <x:v>0.2222222222222222</x:v>
      </x:c>
      <x:c r="L48" s="28" t="n">
        <x:f>IFERROR(F48/B48,0)</x:f>
        <x:v>1</x:v>
      </x:c>
      <x:c r="M48" s="28" t="n">
        <x:f>IFERROR(H48/I48,0)</x:f>
        <x:v>0.1111111111111111</x:v>
      </x:c>
      <x:c r="N48" s="24" t="str">
        <x:f>TEXT(A48,"mmm d")</x:f>
        <x:v>Jun 26</x:v>
      </x:c>
    </x:row>
    <x:row r="49">
      <x:c r="A49" s="31" t="n">
        <x:v>45110</x:v>
      </x:c>
      <x:c r="B49" s="27" t="n">
        <x:v>8</x:v>
      </x:c>
      <x:c r="C49" s="29" t="n">
        <x:v>3.125</x:v>
      </x:c>
      <x:c r="D49" s="27" t="n">
        <x:v>3</x:v>
      </x:c>
      <x:c r="E49" s="27" t="n">
        <x:v>3</x:v>
      </x:c>
      <x:c r="F49" s="27" t="n">
        <x:v>7</x:v>
      </x:c>
      <x:c r="G49" s="27" t="n">
        <x:v>2</x:v>
      </x:c>
      <x:c r="H49" s="27" t="n">
        <x:v>0</x:v>
      </x:c>
      <x:c r="I49" s="27" t="n">
        <x:v>8</x:v>
      </x:c>
      <x:c r="J49" s="28" t="n">
        <x:f>IFERROR(D49/B49,0)</x:f>
        <x:v>0.375</x:v>
      </x:c>
      <x:c r="K49" s="28" t="n">
        <x:f>IFERROR(E49/B49,0)</x:f>
        <x:v>0.375</x:v>
      </x:c>
      <x:c r="L49" s="28" t="n">
        <x:f>IFERROR(F49/B49,0)</x:f>
        <x:v>0.875</x:v>
      </x:c>
      <x:c r="M49" s="28" t="n">
        <x:f>IFERROR(H49/I49,0)</x:f>
        <x:v>0</x:v>
      </x:c>
      <x:c r="N49" s="24" t="str">
        <x:f>TEXT(A49,"mmm d")</x:f>
        <x:v>Jul 3</x:v>
      </x:c>
    </x:row>
    <x:row r="50">
      <x:c r="A50" s="31" t="n">
        <x:v>45117</x:v>
      </x:c>
      <x:c r="B50" s="27" t="n">
        <x:v>4</x:v>
      </x:c>
      <x:c r="C50" s="29" t="n">
        <x:v>2</x:v>
      </x:c>
      <x:c r="D50" s="27" t="n">
        <x:v>0</x:v>
      </x:c>
      <x:c r="E50" s="27" t="n">
        <x:v>3</x:v>
      </x:c>
      <x:c r="F50" s="27" t="n">
        <x:v>4</x:v>
      </x:c>
      <x:c r="G50" s="27" t="n">
        <x:v>1</x:v>
      </x:c>
      <x:c r="H50" s="27" t="n">
        <x:v>1</x:v>
      </x:c>
      <x:c r="I50" s="27" t="n">
        <x:v>4</x:v>
      </x:c>
      <x:c r="J50" s="28" t="n">
        <x:f>IFERROR(D50/B50,0)</x:f>
        <x:v>0</x:v>
      </x:c>
      <x:c r="K50" s="28" t="n">
        <x:f>IFERROR(E50/B50,0)</x:f>
        <x:v>0.75</x:v>
      </x:c>
      <x:c r="L50" s="28" t="n">
        <x:f>IFERROR(F50/B50,0)</x:f>
        <x:v>1</x:v>
      </x:c>
      <x:c r="M50" s="28" t="n">
        <x:f>IFERROR(H50/I50,0)</x:f>
        <x:v>0.25</x:v>
      </x:c>
      <x:c r="N50" s="24" t="str">
        <x:f>TEXT(A50,"mmm d")</x:f>
        <x:v>Jul 10</x:v>
      </x:c>
    </x:row>
    <x:row r="51">
      <x:c r="A51" s="31" t="n">
        <x:v>45124</x:v>
      </x:c>
      <x:c r="B51" s="27" t="n">
        <x:v>7</x:v>
      </x:c>
      <x:c r="C51" s="29" t="n">
        <x:v>3</x:v>
      </x:c>
      <x:c r="D51" s="27" t="n">
        <x:v>3</x:v>
      </x:c>
      <x:c r="E51" s="27" t="n">
        <x:v>3</x:v>
      </x:c>
      <x:c r="F51" s="27" t="n">
        <x:v>7</x:v>
      </x:c>
      <x:c r="G51" s="27" t="n">
        <x:v>1</x:v>
      </x:c>
      <x:c r="H51" s="27" t="n">
        <x:v>1</x:v>
      </x:c>
      <x:c r="I51" s="27" t="n">
        <x:v>7</x:v>
      </x:c>
      <x:c r="J51" s="28" t="n">
        <x:f>IFERROR(D51/B51,0)</x:f>
        <x:v>0.42857142857142855</x:v>
      </x:c>
      <x:c r="K51" s="28" t="n">
        <x:f>IFERROR(E51/B51,0)</x:f>
        <x:v>0.42857142857142855</x:v>
      </x:c>
      <x:c r="L51" s="28" t="n">
        <x:f>IFERROR(F51/B51,0)</x:f>
        <x:v>1</x:v>
      </x:c>
      <x:c r="M51" s="28" t="n">
        <x:f>IFERROR(H51/I51,0)</x:f>
        <x:v>0.14285714285714285</x:v>
      </x:c>
      <x:c r="N51" s="24" t="str">
        <x:f>TEXT(A51,"mmm d")</x:f>
        <x:v>Jul 17</x:v>
      </x:c>
    </x:row>
    <x:row r="52">
      <x:c r="A52" s="31" t="n">
        <x:v>45131</x:v>
      </x:c>
      <x:c r="B52" s="27" t="n">
        <x:v>11</x:v>
      </x:c>
      <x:c r="C52" s="29" t="n">
        <x:v>4.2727272727</x:v>
      </x:c>
      <x:c r="D52" s="27" t="n">
        <x:v>8</x:v>
      </x:c>
      <x:c r="E52" s="27" t="n">
        <x:v>1</x:v>
      </x:c>
      <x:c r="F52" s="27" t="n">
        <x:v>11</x:v>
      </x:c>
      <x:c r="G52" s="27" t="n">
        <x:v>1</x:v>
      </x:c>
      <x:c r="H52" s="27" t="n">
        <x:v>0</x:v>
      </x:c>
      <x:c r="I52" s="27" t="n">
        <x:v>10</x:v>
      </x:c>
      <x:c r="J52" s="28" t="n">
        <x:f>IFERROR(D52/B52,0)</x:f>
        <x:v>0.7272727272727273</x:v>
      </x:c>
      <x:c r="K52" s="28" t="n">
        <x:f>IFERROR(E52/B52,0)</x:f>
        <x:v>0.09090909090909091</x:v>
      </x:c>
      <x:c r="L52" s="28" t="n">
        <x:f>IFERROR(F52/B52,0)</x:f>
        <x:v>1</x:v>
      </x:c>
      <x:c r="M52" s="28" t="n">
        <x:f>IFERROR(H52/I52,0)</x:f>
        <x:v>0</x:v>
      </x:c>
      <x:c r="N52" s="24" t="str">
        <x:f>TEXT(A52,"mmm d")</x:f>
        <x:v>Jul 24</x:v>
      </x:c>
    </x:row>
    <x:row r="53">
      <x:c r="A53" s="31" t="n">
        <x:v>45138</x:v>
      </x:c>
      <x:c r="B53" s="27" t="n">
        <x:v>4</x:v>
      </x:c>
      <x:c r="C53" s="29" t="n">
        <x:v>3.5</x:v>
      </x:c>
      <x:c r="D53" s="27" t="n">
        <x:v>2</x:v>
      </x:c>
      <x:c r="E53" s="27" t="n">
        <x:v>1</x:v>
      </x:c>
      <x:c r="F53" s="27" t="n">
        <x:v>4</x:v>
      </x:c>
      <x:c r="G53" s="27" t="n">
        <x:v>0</x:v>
      </x:c>
      <x:c r="H53" s="27" t="n">
        <x:v>0</x:v>
      </x:c>
      <x:c r="I53" s="27" t="n">
        <x:v>4</x:v>
      </x:c>
      <x:c r="J53" s="28" t="n">
        <x:f>IFERROR(D53/B53,0)</x:f>
        <x:v>0.5</x:v>
      </x:c>
      <x:c r="K53" s="28" t="n">
        <x:f>IFERROR(E53/B53,0)</x:f>
        <x:v>0.25</x:v>
      </x:c>
      <x:c r="L53" s="28" t="n">
        <x:f>IFERROR(F53/B53,0)</x:f>
        <x:v>1</x:v>
      </x:c>
      <x:c r="M53" s="28" t="n">
        <x:f>IFERROR(H53/I53,0)</x:f>
        <x:v>0</x:v>
      </x:c>
      <x:c r="N53" s="24" t="str">
        <x:f>TEXT(A53,"mmm d")</x:f>
        <x:v>Jul 31</x:v>
      </x:c>
    </x:row>
    <x:row r="54">
      <x:c r="A54" s="31" t="n">
        <x:v>45145</x:v>
      </x:c>
      <x:c r="B54" s="27" t="n">
        <x:v>5</x:v>
      </x:c>
      <x:c r="C54" s="29" t="n">
        <x:v>3.2</x:v>
      </x:c>
      <x:c r="D54" s="27" t="n">
        <x:v>2</x:v>
      </x:c>
      <x:c r="E54" s="27" t="n">
        <x:v>3</x:v>
      </x:c>
      <x:c r="F54" s="27" t="n">
        <x:v>5</x:v>
      </x:c>
      <x:c r="G54" s="27" t="n">
        <x:v>0</x:v>
      </x:c>
      <x:c r="H54" s="27" t="n">
        <x:v>0</x:v>
      </x:c>
      <x:c r="I54" s="27" t="n">
        <x:v>5</x:v>
      </x:c>
      <x:c r="J54" s="28" t="n">
        <x:f>IFERROR(D54/B54,0)</x:f>
        <x:v>0.4</x:v>
      </x:c>
      <x:c r="K54" s="28" t="n">
        <x:f>IFERROR(E54/B54,0)</x:f>
        <x:v>0.6</x:v>
      </x:c>
      <x:c r="L54" s="28" t="n">
        <x:f>IFERROR(F54/B54,0)</x:f>
        <x:v>1</x:v>
      </x:c>
      <x:c r="M54" s="28" t="n">
        <x:f>IFERROR(H54/I54,0)</x:f>
        <x:v>0</x:v>
      </x:c>
      <x:c r="N54" s="24" t="str">
        <x:f>TEXT(A54,"mmm d")</x:f>
        <x:v>Aug 7</x:v>
      </x:c>
    </x:row>
    <x:row r="55">
      <x:c r="A55" s="31" t="n">
        <x:v>45152</x:v>
      </x:c>
      <x:c r="B55" s="27" t="n">
        <x:v>2</x:v>
      </x:c>
      <x:c r="C55" s="29" t="n">
        <x:v>4</x:v>
      </x:c>
      <x:c r="D55" s="27" t="n">
        <x:v>1</x:v>
      </x:c>
      <x:c r="E55" s="27" t="n">
        <x:v>0</x:v>
      </x:c>
      <x:c r="F55" s="27" t="n">
        <x:v>2</x:v>
      </x:c>
      <x:c r="G55" s="27" t="n">
        <x:v>0</x:v>
      </x:c>
      <x:c r="H55" s="27" t="n">
        <x:v>0</x:v>
      </x:c>
      <x:c r="I55" s="27" t="n">
        <x:v>2</x:v>
      </x:c>
      <x:c r="J55" s="28" t="n">
        <x:f>IFERROR(D55/B55,0)</x:f>
        <x:v>0.5</x:v>
      </x:c>
      <x:c r="K55" s="28" t="n">
        <x:f>IFERROR(E55/B55,0)</x:f>
        <x:v>0</x:v>
      </x:c>
      <x:c r="L55" s="28" t="n">
        <x:f>IFERROR(F55/B55,0)</x:f>
        <x:v>1</x:v>
      </x:c>
      <x:c r="M55" s="28" t="n">
        <x:f>IFERROR(H55/I55,0)</x:f>
        <x:v>0</x:v>
      </x:c>
      <x:c r="N55" s="24" t="str">
        <x:f>TEXT(A55,"mmm d")</x:f>
        <x:v>Aug 14</x:v>
      </x:c>
    </x:row>
    <x:row r="56">
      <x:c r="A56" s="31" t="n">
        <x:v>45159</x:v>
      </x:c>
      <x:c r="B56" s="27" t="n">
        <x:v>5</x:v>
      </x:c>
      <x:c r="C56" s="29" t="n">
        <x:v>4.2</x:v>
      </x:c>
      <x:c r="D56" s="27" t="n">
        <x:v>4</x:v>
      </x:c>
      <x:c r="E56" s="27" t="n">
        <x:v>1</x:v>
      </x:c>
      <x:c r="F56" s="27" t="n">
        <x:v>5</x:v>
      </x:c>
      <x:c r="G56" s="27" t="n">
        <x:v>0</x:v>
      </x:c>
      <x:c r="H56" s="27" t="n">
        <x:v>1</x:v>
      </x:c>
      <x:c r="I56" s="27" t="n">
        <x:v>5</x:v>
      </x:c>
      <x:c r="J56" s="28" t="n">
        <x:f>IFERROR(D56/B56,0)</x:f>
        <x:v>0.8</x:v>
      </x:c>
      <x:c r="K56" s="28" t="n">
        <x:f>IFERROR(E56/B56,0)</x:f>
        <x:v>0.2</x:v>
      </x:c>
      <x:c r="L56" s="28" t="n">
        <x:f>IFERROR(F56/B56,0)</x:f>
        <x:v>1</x:v>
      </x:c>
      <x:c r="M56" s="28" t="n">
        <x:f>IFERROR(H56/I56,0)</x:f>
        <x:v>0.2</x:v>
      </x:c>
      <x:c r="N56" s="24" t="str">
        <x:f>TEXT(A56,"mmm d")</x:f>
        <x:v>Aug 21</x:v>
      </x:c>
    </x:row>
    <x:row r="57">
      <x:c r="A57" s="32" t="n">
        <x:v>45166</x:v>
      </x:c>
      <x:c r="B57" s="30" t="n">
        <x:v>3</x:v>
      </x:c>
      <x:c r="C57" s="35" t="n">
        <x:v>4.3333333333</x:v>
      </x:c>
      <x:c r="D57" s="30" t="n">
        <x:v>2</x:v>
      </x:c>
      <x:c r="E57" s="30" t="n">
        <x:v>0</x:v>
      </x:c>
      <x:c r="F57" s="30" t="n">
        <x:v>3</x:v>
      </x:c>
      <x:c r="G57" s="30" t="n">
        <x:v>1</x:v>
      </x:c>
      <x:c r="H57" s="30" t="n">
        <x:v>0</x:v>
      </x:c>
      <x:c r="I57" s="30" t="n">
        <x:v>3</x:v>
      </x:c>
      <x:c r="J57" s="37" t="n">
        <x:f>IFERROR(D57/B57,0)</x:f>
        <x:v>0.6666666666666666</x:v>
      </x:c>
      <x:c r="K57" s="37" t="n">
        <x:f>IFERROR(E57/B57,0)</x:f>
        <x:v>0</x:v>
      </x:c>
      <x:c r="L57" s="37" t="n">
        <x:f>IFERROR(F57/B57,0)</x:f>
        <x:v>1</x:v>
      </x:c>
      <x:c r="M57" s="37" t="n">
        <x:f>IFERROR(H57/I57,0)</x:f>
        <x:v>0</x:v>
      </x:c>
      <x:c r="N57" s="25" t="str">
        <x:f>TEXT(A57,"mmm d")</x:f>
        <x:v>Aug 28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aad584a94f514a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62" hidden="0" customWidth="1"/>
  </x:cols>
  <x:sheetData>
    <x:row r="1" ht="24" customHeight="1">
      <x:c r="A1" s="4" t="str">
        <x:v>Pain-point analysis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6" customHeight="1">
      <x:c r="A3" s="7" t="str">
        <x:v>Multi-label text matches; rates do not sum to 100%.</x:v>
      </x:c>
      <x:c r="B3" s="7"/>
      <x:c r="C3" s="7"/>
      <x:c r="D3" s="7"/>
      <x:c r="E3" s="7"/>
      <x:c r="F3" s="7"/>
      <x:c r="G3" s="7"/>
    </x:row>
    <x:row r="5" ht="30" customHeight="1">
      <x:c r="A5" s="16" t="str">
        <x:v>Category</x:v>
      </x:c>
      <x:c r="B5" s="17" t="str">
        <x:v>Mentions</x:v>
      </x:c>
      <x:c r="C5" s="17" t="str">
        <x:v>Denominator</x:v>
      </x:c>
      <x:c r="D5" s="17" t="str">
        <x:v>Mention rate</x:v>
      </x:c>
      <x:c r="E5" s="17" t="str">
        <x:v>Share of tag mentions</x:v>
      </x:c>
      <x:c r="F5" s="17" t="str">
        <x:v>Cumulative share</x:v>
      </x:c>
      <x:c r="G5" s="18" t="str">
        <x:v>Denominator definition</x:v>
      </x:c>
    </x:row>
    <x:row r="6">
      <x:c r="A6" s="23" t="str">
        <x:v>Value</x:v>
      </x:c>
      <x:c r="B6" s="33" t="n">
        <x:v>192</x:v>
      </x:c>
      <x:c r="C6" s="33" t="n">
        <x:v>2507</x:v>
      </x:c>
      <x:c r="D6" s="36" t="n">
        <x:f>IFERROR(B6/C6,0)</x:f>
        <x:v>0.07658556043079377</x:v>
      </x:c>
      <x:c r="E6" s="36" t="n">
        <x:f>IFERROR(B6/SUM($B$6:$B$13),0)</x:f>
        <x:v>0.26928471248246844</x:v>
      </x:c>
      <x:c r="F6" s="36" t="n">
        <x:f>SUM($E$6:E6)</x:f>
        <x:v>0.26928471248246844</x:v>
      </x:c>
      <x:c r="G6" s="38" t="str">
        <x:v>negative (1–2 star), text-eligible, non-promotional reviews</x:v>
      </x:c>
    </x:row>
    <x:row r="7">
      <x:c r="A7" s="24" t="str">
        <x:v>Scent Mismatch</x:v>
      </x:c>
      <x:c r="B7" s="27" t="n">
        <x:v>176</x:v>
      </x:c>
      <x:c r="C7" s="27" t="n">
        <x:v>2507</x:v>
      </x:c>
      <x:c r="D7" s="28" t="n">
        <x:f>IFERROR(B7/C7,0)</x:f>
        <x:v>0.0702034303948943</x:v>
      </x:c>
      <x:c r="E7" s="28" t="n">
        <x:f>IFERROR(B7/SUM($B$6:$B$13),0)</x:f>
        <x:v>0.24684431977559607</x:v>
      </x:c>
      <x:c r="F7" s="28" t="n">
        <x:f>SUM($E$6:E7)</x:f>
        <x:v>0.5161290322580645</x:v>
      </x:c>
      <x:c r="G7" s="39" t="str">
        <x:v>negative (1–2 star), text-eligible, non-promotional reviews</x:v>
      </x:c>
    </x:row>
    <x:row r="8">
      <x:c r="A8" s="24" t="str">
        <x:v>Authenticity</x:v>
      </x:c>
      <x:c r="B8" s="27" t="n">
        <x:v>132</x:v>
      </x:c>
      <x:c r="C8" s="27" t="n">
        <x:v>2507</x:v>
      </x:c>
      <x:c r="D8" s="28" t="n">
        <x:f>IFERROR(B8/C8,0)</x:f>
        <x:v>0.05265257279617072</x:v>
      </x:c>
      <x:c r="E8" s="28" t="n">
        <x:f>IFERROR(B8/SUM($B$6:$B$13),0)</x:f>
        <x:v>0.18513323983169705</x:v>
      </x:c>
      <x:c r="F8" s="28" t="n">
        <x:f>SUM($E$6:E8)</x:f>
        <x:v>0.7012622720897616</x:v>
      </x:c>
      <x:c r="G8" s="39" t="str">
        <x:v>negative (1–2 star), text-eligible, non-promotional reviews</x:v>
      </x:c>
    </x:row>
    <x:row r="9">
      <x:c r="A9" s="24" t="str">
        <x:v>Longevity</x:v>
      </x:c>
      <x:c r="B9" s="27" t="n">
        <x:v>101</x:v>
      </x:c>
      <x:c r="C9" s="27" t="n">
        <x:v>2507</x:v>
      </x:c>
      <x:c r="D9" s="28" t="n">
        <x:f>IFERROR(B9/C9,0)</x:f>
        <x:v>0.04028719585161548</x:v>
      </x:c>
      <x:c r="E9" s="28" t="n">
        <x:f>IFERROR(B9/SUM($B$6:$B$13),0)</x:f>
        <x:v>0.14165497896213183</x:v>
      </x:c>
      <x:c r="F9" s="28" t="n">
        <x:f>SUM($E$6:E9)</x:f>
        <x:v>0.8429172510518934</x:v>
      </x:c>
      <x:c r="G9" s="39" t="str">
        <x:v>negative (1–2 star), text-eligible, non-promotional reviews</x:v>
      </x:c>
    </x:row>
    <x:row r="10">
      <x:c r="A10" s="24" t="str">
        <x:v>Packaging</x:v>
      </x:c>
      <x:c r="B10" s="27" t="n">
        <x:v>84</x:v>
      </x:c>
      <x:c r="C10" s="27" t="n">
        <x:v>2507</x:v>
      </x:c>
      <x:c r="D10" s="28" t="n">
        <x:f>IFERROR(B10/C10,0)</x:f>
        <x:v>0.033506182688472275</x:v>
      </x:c>
      <x:c r="E10" s="28" t="n">
        <x:f>IFERROR(B10/SUM($B$6:$B$13),0)</x:f>
        <x:v>0.11781206171107994</x:v>
      </x:c>
      <x:c r="F10" s="28" t="n">
        <x:f>SUM($E$6:E10)</x:f>
        <x:v>0.9607293127629734</x:v>
      </x:c>
      <x:c r="G10" s="39" t="str">
        <x:v>negative (1–2 star), text-eligible, non-promotional reviews</x:v>
      </x:c>
    </x:row>
    <x:row r="11">
      <x:c r="A11" s="24" t="str">
        <x:v>Irritation</x:v>
      </x:c>
      <x:c r="B11" s="27" t="n">
        <x:v>17</x:v>
      </x:c>
      <x:c r="C11" s="27" t="n">
        <x:v>2507</x:v>
      </x:c>
      <x:c r="D11" s="28" t="n">
        <x:f>IFERROR(B11/C11,0)</x:f>
        <x:v>0.006781013163143199</x:v>
      </x:c>
      <x:c r="E11" s="28" t="n">
        <x:f>IFERROR(B11/SUM($B$6:$B$13),0)</x:f>
        <x:v>0.023842917251051893</x:v>
      </x:c>
      <x:c r="F11" s="28" t="n">
        <x:f>SUM($E$6:E11)</x:f>
        <x:v>0.9845722300140253</x:v>
      </x:c>
      <x:c r="G11" s="39" t="str">
        <x:v>negative (1–2 star), text-eligible, non-promotional reviews</x:v>
      </x:c>
    </x:row>
    <x:row r="12">
      <x:c r="A12" s="24" t="str">
        <x:v>Projection</x:v>
      </x:c>
      <x:c r="B12" s="27" t="n">
        <x:v>11</x:v>
      </x:c>
      <x:c r="C12" s="27" t="n">
        <x:v>2507</x:v>
      </x:c>
      <x:c r="D12" s="28" t="n">
        <x:f>IFERROR(B12/C12,0)</x:f>
        <x:v>0.0043877143996808934</x:v>
      </x:c>
      <x:c r="E12" s="28" t="n">
        <x:f>IFERROR(B12/SUM($B$6:$B$13),0)</x:f>
        <x:v>0.015427769985974754</x:v>
      </x:c>
      <x:c r="F12" s="28" t="n">
        <x:f>SUM($E$6:E12)</x:f>
        <x:v>1</x:v>
      </x:c>
      <x:c r="G12" s="39" t="str">
        <x:v>negative (1–2 star), text-eligible, non-promotional reviews</x:v>
      </x:c>
    </x:row>
    <x:row r="13">
      <x:c r="A13" s="25" t="str">
        <x:v>Delivery</x:v>
      </x:c>
      <x:c r="B13" s="30" t="n">
        <x:v>0</x:v>
      </x:c>
      <x:c r="C13" s="30" t="n">
        <x:v>2507</x:v>
      </x:c>
      <x:c r="D13" s="37" t="n">
        <x:f>IFERROR(B13/C13,0)</x:f>
        <x:v>0</x:v>
      </x:c>
      <x:c r="E13" s="37" t="n">
        <x:f>IFERROR(B13/SUM($B$6:$B$13),0)</x:f>
        <x:v>0</x:v>
      </x:c>
      <x:c r="F13" s="37" t="n">
        <x:f>SUM($E$6:E13)</x:f>
        <x:v>1</x:v>
      </x:c>
      <x:c r="G13" s="40" t="str">
        <x:v>negative (1–2 star), text-eligible, non-promotional reviews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04a7d315279748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62" hidden="0" customWidth="1"/>
  </x:cols>
  <x:sheetData>
    <x:row r="1" ht="24" customHeight="1">
      <x:c r="A1" s="4" t="str">
        <x:v>Need-state analysis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6" customHeight="1">
      <x:c r="A3" s="7" t="str">
        <x:v>Multi-label text matches; rates do not sum to 100%.</x:v>
      </x:c>
      <x:c r="B3" s="7"/>
      <x:c r="C3" s="7"/>
      <x:c r="D3" s="7"/>
      <x:c r="E3" s="7"/>
      <x:c r="F3" s="7"/>
      <x:c r="G3" s="7"/>
    </x:row>
    <x:row r="5" ht="30" customHeight="1">
      <x:c r="A5" s="16" t="str">
        <x:v>Category</x:v>
      </x:c>
      <x:c r="B5" s="17" t="str">
        <x:v>Mentions</x:v>
      </x:c>
      <x:c r="C5" s="17" t="str">
        <x:v>Denominator</x:v>
      </x:c>
      <x:c r="D5" s="17" t="str">
        <x:v>Mention rate</x:v>
      </x:c>
      <x:c r="E5" s="17" t="str">
        <x:v>Share of tag mentions</x:v>
      </x:c>
      <x:c r="F5" s="17" t="str">
        <x:v>Cumulative share</x:v>
      </x:c>
      <x:c r="G5" s="18" t="str">
        <x:v>Denominator definition</x:v>
      </x:c>
    </x:row>
    <x:row r="6">
      <x:c r="A6" s="23" t="str">
        <x:v>Gifting</x:v>
      </x:c>
      <x:c r="B6" s="33" t="n">
        <x:v>616</x:v>
      </x:c>
      <x:c r="C6" s="33" t="n">
        <x:v>13859</x:v>
      </x:c>
      <x:c r="D6" s="36" t="n">
        <x:f>IFERROR(B6/C6,0)</x:f>
        <x:v>0.044447651345695935</x:v>
      </x:c>
      <x:c r="E6" s="36" t="n">
        <x:f>IFERROR(B6/SUM($B$6:$B$12),0)</x:f>
        <x:v>0.25061025223759154</x:v>
      </x:c>
      <x:c r="F6" s="36" t="n">
        <x:f>SUM($E$6:E6)</x:f>
        <x:v>0.25061025223759154</x:v>
      </x:c>
      <x:c r="G6" s="38" t="str">
        <x:v>text-eligible, non-promotional fragrance reviews</x:v>
      </x:c>
    </x:row>
    <x:row r="7">
      <x:c r="A7" s="24" t="str">
        <x:v>Compliment Or Identity</x:v>
      </x:c>
      <x:c r="B7" s="27" t="n">
        <x:v>587</x:v>
      </x:c>
      <x:c r="C7" s="27" t="n">
        <x:v>13859</x:v>
      </x:c>
      <x:c r="D7" s="28" t="n">
        <x:f>IFERROR(B7/C7,0)</x:f>
        <x:v>0.042355148279096616</x:v>
      </x:c>
      <x:c r="E7" s="28" t="n">
        <x:f>IFERROR(B7/SUM($B$6:$B$12),0)</x:f>
        <x:v>0.23881204231082181</x:v>
      </x:c>
      <x:c r="F7" s="28" t="n">
        <x:f>SUM($E$6:E7)</x:f>
        <x:v>0.48942229454841335</x:v>
      </x:c>
      <x:c r="G7" s="39" t="str">
        <x:v>text-eligible, non-promotional fragrance reviews</x:v>
      </x:c>
    </x:row>
    <x:row r="8">
      <x:c r="A8" s="24" t="str">
        <x:v>Daily Or Work</x:v>
      </x:c>
      <x:c r="B8" s="27" t="n">
        <x:v>369</x:v>
      </x:c>
      <x:c r="C8" s="27" t="n">
        <x:v>13859</x:v>
      </x:c>
      <x:c r="D8" s="28" t="n">
        <x:f>IFERROR(B8/C8,0)</x:f>
        <x:v>0.026625297640522405</x:v>
      </x:c>
      <x:c r="E8" s="28" t="n">
        <x:f>IFERROR(B8/SUM($B$6:$B$12),0)</x:f>
        <x:v>0.1501220504475183</x:v>
      </x:c>
      <x:c r="F8" s="28" t="n">
        <x:f>SUM($E$6:E8)</x:f>
        <x:v>0.6395443449959317</x:v>
      </x:c>
      <x:c r="G8" s="39" t="str">
        <x:v>text-eligible, non-promotional fragrance reviews</x:v>
      </x:c>
    </x:row>
    <x:row r="9">
      <x:c r="A9" s="24" t="str">
        <x:v>Travel</x:v>
      </x:c>
      <x:c r="B9" s="27" t="n">
        <x:v>366</x:v>
      </x:c>
      <x:c r="C9" s="27" t="n">
        <x:v>13859</x:v>
      </x:c>
      <x:c r="D9" s="28" t="n">
        <x:f>IFERROR(B9/C9,0)</x:f>
        <x:v>0.026408831806046612</x:v>
      </x:c>
      <x:c r="E9" s="28" t="n">
        <x:f>IFERROR(B9/SUM($B$6:$B$12),0)</x:f>
        <x:v>0.14890154597233524</x:v>
      </x:c>
      <x:c r="F9" s="28" t="n">
        <x:f>SUM($E$6:E9)</x:f>
        <x:v>0.788445890968267</x:v>
      </x:c>
      <x:c r="G9" s="39" t="str">
        <x:v>text-eligible, non-promotional fragrance reviews</x:v>
      </x:c>
    </x:row>
    <x:row r="10">
      <x:c r="A10" s="24" t="str">
        <x:v>Date Or Evening</x:v>
      </x:c>
      <x:c r="B10" s="27" t="n">
        <x:v>244</x:v>
      </x:c>
      <x:c r="C10" s="27" t="n">
        <x:v>13859</x:v>
      </x:c>
      <x:c r="D10" s="28" t="n">
        <x:f>IFERROR(B10/C10,0)</x:f>
        <x:v>0.01760588787069774</x:v>
      </x:c>
      <x:c r="E10" s="28" t="n">
        <x:f>IFERROR(B10/SUM($B$6:$B$12),0)</x:f>
        <x:v>0.09926769731489016</x:v>
      </x:c>
      <x:c r="F10" s="28" t="n">
        <x:f>SUM($E$6:E10)</x:f>
        <x:v>0.8877135882831572</x:v>
      </x:c>
      <x:c r="G10" s="39" t="str">
        <x:v>text-eligible, non-promotional fragrance reviews</x:v>
      </x:c>
    </x:row>
    <x:row r="11">
      <x:c r="A11" s="24" t="str">
        <x:v>Warm Weather</x:v>
      </x:c>
      <x:c r="B11" s="27" t="n">
        <x:v>158</x:v>
      </x:c>
      <x:c r="C11" s="27" t="n">
        <x:v>13859</x:v>
      </x:c>
      <x:c r="D11" s="28" t="n">
        <x:f>IFERROR(B11/C11,0)</x:f>
        <x:v>0.011400533949058374</x:v>
      </x:c>
      <x:c r="E11" s="28" t="n">
        <x:f>IFERROR(B11/SUM($B$6:$B$12),0)</x:f>
        <x:v>0.06427990235964198</x:v>
      </x:c>
      <x:c r="F11" s="28" t="n">
        <x:f>SUM($E$6:E11)</x:f>
        <x:v>0.9519934906427991</x:v>
      </x:c>
      <x:c r="G11" s="39" t="str">
        <x:v>text-eligible, non-promotional fragrance reviews</x:v>
      </x:c>
    </x:row>
    <x:row r="12">
      <x:c r="A12" s="25" t="str">
        <x:v>Cold Weather</x:v>
      </x:c>
      <x:c r="B12" s="30" t="n">
        <x:v>118</x:v>
      </x:c>
      <x:c r="C12" s="30" t="n">
        <x:v>13859</x:v>
      </x:c>
      <x:c r="D12" s="37" t="n">
        <x:f>IFERROR(B12/C12,0)</x:f>
        <x:v>0.008514322822714481</x:v>
      </x:c>
      <x:c r="E12" s="37" t="n">
        <x:f>IFERROR(B12/SUM($B$6:$B$12),0)</x:f>
        <x:v>0.04800650935720097</x:v>
      </x:c>
      <x:c r="F12" s="37" t="n">
        <x:f>SUM($E$6:E12)</x:f>
        <x:v>1.0000000000000002</x:v>
      </x:c>
      <x:c r="G12" s="40" t="str">
        <x:v>text-eligible, non-promotional fragrance reviews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823b969993a64b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62" hidden="0" customWidth="1"/>
  </x:cols>
  <x:sheetData>
    <x:row r="1" ht="24" customHeight="1">
      <x:c r="A1" s="4" t="str">
        <x:v>Scent-family analysis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6" customHeight="1">
      <x:c r="A3" s="7" t="str">
        <x:v>Multi-label text matches; rates do not sum to 100%.</x:v>
      </x:c>
      <x:c r="B3" s="7"/>
      <x:c r="C3" s="7"/>
      <x:c r="D3" s="7"/>
      <x:c r="E3" s="7"/>
      <x:c r="F3" s="7"/>
      <x:c r="G3" s="7"/>
    </x:row>
    <x:row r="5" ht="30" customHeight="1">
      <x:c r="A5" s="16" t="str">
        <x:v>Category</x:v>
      </x:c>
      <x:c r="B5" s="17" t="str">
        <x:v>Mentions</x:v>
      </x:c>
      <x:c r="C5" s="17" t="str">
        <x:v>Denominator</x:v>
      </x:c>
      <x:c r="D5" s="17" t="str">
        <x:v>Mention rate</x:v>
      </x:c>
      <x:c r="E5" s="17" t="str">
        <x:v>Share of tag mentions</x:v>
      </x:c>
      <x:c r="F5" s="17" t="str">
        <x:v>Cumulative share</x:v>
      </x:c>
      <x:c r="G5" s="18" t="str">
        <x:v>Denominator definition</x:v>
      </x:c>
    </x:row>
    <x:row r="6">
      <x:c r="A6" s="23" t="str">
        <x:v>Gourmand Sweet</x:v>
      </x:c>
      <x:c r="B6" s="33" t="n">
        <x:v>696</x:v>
      </x:c>
      <x:c r="C6" s="33" t="n">
        <x:v>13859</x:v>
      </x:c>
      <x:c r="D6" s="36" t="n">
        <x:f>IFERROR(B6/C6,0)</x:f>
        <x:v>0.05022007359838372</x:v>
      </x:c>
      <x:c r="E6" s="36" t="n">
        <x:f>IFERROR(B6/SUM($B$6:$B$16),0)</x:f>
        <x:v>0.22329162656400384</x:v>
      </x:c>
      <x:c r="F6" s="36" t="n">
        <x:f>SUM($E$6:E6)</x:f>
        <x:v>0.22329162656400384</x:v>
      </x:c>
      <x:c r="G6" s="38" t="str">
        <x:v>text-eligible, non-promotional fragrance reviews</x:v>
      </x:c>
    </x:row>
    <x:row r="7">
      <x:c r="A7" s="24" t="str">
        <x:v>Citrus Fresh</x:v>
      </x:c>
      <x:c r="B7" s="27" t="n">
        <x:v>600</x:v>
      </x:c>
      <x:c r="C7" s="27" t="n">
        <x:v>13859</x:v>
      </x:c>
      <x:c r="D7" s="28" t="n">
        <x:f>IFERROR(B7/C7,0)</x:f>
        <x:v>0.04329316689515838</x:v>
      </x:c>
      <x:c r="E7" s="28" t="n">
        <x:f>IFERROR(B7/SUM($B$6:$B$16),0)</x:f>
        <x:v>0.19249278152069296</x:v>
      </x:c>
      <x:c r="F7" s="28" t="n">
        <x:f>SUM($E$6:E7)</x:f>
        <x:v>0.4157844080846968</x:v>
      </x:c>
      <x:c r="G7" s="39" t="str">
        <x:v>text-eligible, non-promotional fragrance reviews</x:v>
      </x:c>
    </x:row>
    <x:row r="8">
      <x:c r="A8" s="24" t="str">
        <x:v>Floral</x:v>
      </x:c>
      <x:c r="B8" s="27" t="n">
        <x:v>430</x:v>
      </x:c>
      <x:c r="C8" s="27" t="n">
        <x:v>13859</x:v>
      </x:c>
      <x:c r="D8" s="28" t="n">
        <x:f>IFERROR(B8/C8,0)</x:f>
        <x:v>0.03102676960819684</x:v>
      </x:c>
      <x:c r="E8" s="28" t="n">
        <x:f>IFERROR(B8/SUM($B$6:$B$16),0)</x:f>
        <x:v>0.13795316008982997</x:v>
      </x:c>
      <x:c r="F8" s="28" t="n">
        <x:f>SUM($E$6:E8)</x:f>
        <x:v>0.5537375681745268</x:v>
      </x:c>
      <x:c r="G8" s="39" t="str">
        <x:v>text-eligible, non-promotional fragrance reviews</x:v>
      </x:c>
    </x:row>
    <x:row r="9">
      <x:c r="A9" s="24" t="str">
        <x:v>Musk Powdery</x:v>
      </x:c>
      <x:c r="B9" s="27" t="n">
        <x:v>422</x:v>
      </x:c>
      <x:c r="C9" s="27" t="n">
        <x:v>13859</x:v>
      </x:c>
      <x:c r="D9" s="28" t="n">
        <x:f>IFERROR(B9/C9,0)</x:f>
        <x:v>0.03044952738292806</x:v>
      </x:c>
      <x:c r="E9" s="28" t="n">
        <x:f>IFERROR(B9/SUM($B$6:$B$16),0)</x:f>
        <x:v>0.13538658966955405</x:v>
      </x:c>
      <x:c r="F9" s="28" t="n">
        <x:f>SUM($E$6:E9)</x:f>
        <x:v>0.6891241578440809</x:v>
      </x:c>
      <x:c r="G9" s="39" t="str">
        <x:v>text-eligible, non-promotional fragrance reviews</x:v>
      </x:c>
    </x:row>
    <x:row r="10">
      <x:c r="A10" s="24" t="str">
        <x:v>Woody</x:v>
      </x:c>
      <x:c r="B10" s="27" t="n">
        <x:v>310</x:v>
      </x:c>
      <x:c r="C10" s="27" t="n">
        <x:v>13859</x:v>
      </x:c>
      <x:c r="D10" s="28" t="n">
        <x:f>IFERROR(B10/C10,0)</x:f>
        <x:v>0.022368136229165163</x:v>
      </x:c>
      <x:c r="E10" s="28" t="n">
        <x:f>IFERROR(B10/SUM($B$6:$B$16),0)</x:f>
        <x:v>0.09945460378569138</x:v>
      </x:c>
      <x:c r="F10" s="28" t="n">
        <x:f>SUM($E$6:E10)</x:f>
        <x:v>0.7885787616297723</x:v>
      </x:c>
      <x:c r="G10" s="39" t="str">
        <x:v>text-eligible, non-promotional fragrance reviews</x:v>
      </x:c>
    </x:row>
    <x:row r="11">
      <x:c r="A11" s="24" t="str">
        <x:v>Fruity</x:v>
      </x:c>
      <x:c r="B11" s="27" t="n">
        <x:v>193</x:v>
      </x:c>
      <x:c r="C11" s="27" t="n">
        <x:v>13859</x:v>
      </x:c>
      <x:c r="D11" s="28" t="n">
        <x:f>IFERROR(B11/C11,0)</x:f>
        <x:v>0.01392596868460928</x:v>
      </x:c>
      <x:c r="E11" s="28" t="n">
        <x:f>IFERROR(B11/SUM($B$6:$B$16),0)</x:f>
        <x:v>0.06191851138915624</x:v>
      </x:c>
      <x:c r="F11" s="28" t="n">
        <x:f>SUM($E$6:E11)</x:f>
        <x:v>0.8504972730189285</x:v>
      </x:c>
      <x:c r="G11" s="39" t="str">
        <x:v>text-eligible, non-promotional fragrance reviews</x:v>
      </x:c>
    </x:row>
    <x:row r="12">
      <x:c r="A12" s="24" t="str">
        <x:v>Spicy</x:v>
      </x:c>
      <x:c r="B12" s="27" t="n">
        <x:v>133</x:v>
      </x:c>
      <x:c r="C12" s="27" t="n">
        <x:v>13859</x:v>
      </x:c>
      <x:c r="D12" s="28" t="n">
        <x:f>IFERROR(B12/C12,0)</x:f>
        <x:v>0.009596651995093441</x:v>
      </x:c>
      <x:c r="E12" s="28" t="n">
        <x:f>IFERROR(B12/SUM($B$6:$B$16),0)</x:f>
        <x:v>0.04266923323708694</x:v>
      </x:c>
      <x:c r="F12" s="28" t="n">
        <x:f>SUM($E$6:E12)</x:f>
        <x:v>0.8931665062560155</x:v>
      </x:c>
      <x:c r="G12" s="39" t="str">
        <x:v>text-eligible, non-promotional fragrance reviews</x:v>
      </x:c>
    </x:row>
    <x:row r="13">
      <x:c r="A13" s="24" t="str">
        <x:v>Amber Oriental</x:v>
      </x:c>
      <x:c r="B13" s="27" t="n">
        <x:v>114</x:v>
      </x:c>
      <x:c r="C13" s="27" t="n">
        <x:v>13859</x:v>
      </x:c>
      <x:c r="D13" s="28" t="n">
        <x:f>IFERROR(B13/C13,0)</x:f>
        <x:v>0.008225701710080092</x:v>
      </x:c>
      <x:c r="E13" s="28" t="n">
        <x:f>IFERROR(B13/SUM($B$6:$B$16),0)</x:f>
        <x:v>0.03657362848893166</x:v>
      </x:c>
      <x:c r="F13" s="28" t="n">
        <x:f>SUM($E$6:E13)</x:f>
        <x:v>0.9297401347449471</x:v>
      </x:c>
      <x:c r="G13" s="39" t="str">
        <x:v>text-eligible, non-promotional fragrance reviews</x:v>
      </x:c>
    </x:row>
    <x:row r="14">
      <x:c r="A14" s="24" t="str">
        <x:v>Green Herbal</x:v>
      </x:c>
      <x:c r="B14" s="27" t="n">
        <x:v>104</x:v>
      </x:c>
      <x:c r="C14" s="27" t="n">
        <x:v>13859</x:v>
      </x:c>
      <x:c r="D14" s="28" t="n">
        <x:f>IFERROR(B14/C14,0)</x:f>
        <x:v>0.00750414892849412</x:v>
      </x:c>
      <x:c r="E14" s="28" t="n">
        <x:f>IFERROR(B14/SUM($B$6:$B$16),0)</x:f>
        <x:v>0.03336541546358678</x:v>
      </x:c>
      <x:c r="F14" s="28" t="n">
        <x:f>SUM($E$6:E14)</x:f>
        <x:v>0.9631055502085338</x:v>
      </x:c>
      <x:c r="G14" s="39" t="str">
        <x:v>text-eligible, non-promotional fragrance reviews</x:v>
      </x:c>
    </x:row>
    <x:row r="15">
      <x:c r="A15" s="24" t="str">
        <x:v>Leather Tobacco</x:v>
      </x:c>
      <x:c r="B15" s="27" t="n">
        <x:v>61</x:v>
      </x:c>
      <x:c r="C15" s="27" t="n">
        <x:v>13859</x:v>
      </x:c>
      <x:c r="D15" s="28" t="n">
        <x:f>IFERROR(B15/C15,0)</x:f>
        <x:v>0.004401471967674435</x:v>
      </x:c>
      <x:c r="E15" s="28" t="n">
        <x:f>IFERROR(B15/SUM($B$6:$B$16),0)</x:f>
        <x:v>0.019570099454603786</x:v>
      </x:c>
      <x:c r="F15" s="28" t="n">
        <x:f>SUM($E$6:E15)</x:f>
        <x:v>0.9826756496631376</x:v>
      </x:c>
      <x:c r="G15" s="39" t="str">
        <x:v>text-eligible, non-promotional fragrance reviews</x:v>
      </x:c>
    </x:row>
    <x:row r="16">
      <x:c r="A16" s="25" t="str">
        <x:v>Aquatic</x:v>
      </x:c>
      <x:c r="B16" s="30" t="n">
        <x:v>54</x:v>
      </x:c>
      <x:c r="C16" s="30" t="n">
        <x:v>13859</x:v>
      </x:c>
      <x:c r="D16" s="37" t="n">
        <x:f>IFERROR(B16/C16,0)</x:f>
        <x:v>0.0038963850205642543</x:v>
      </x:c>
      <x:c r="E16" s="37" t="n">
        <x:f>IFERROR(B16/SUM($B$6:$B$16),0)</x:f>
        <x:v>0.017324350336862367</x:v>
      </x:c>
      <x:c r="F16" s="37" t="n">
        <x:f>SUM($E$6:E16)</x:f>
        <x:v>1</x:v>
      </x:c>
      <x:c r="G16" s="40" t="str">
        <x:v>text-eligible, non-promotional fragrance reviews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dbd84f3766d34f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4" customHeight="1">
      <x:c r="A1" s="4" t="str">
        <x:v>Brand scorecard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6" customHeight="1">
      <x:c r="A3" s="7" t="str">
        <x:v>Brands with at least 20 reviews; review footprint is not market share.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0" customHeight="1">
      <x:c r="A5" s="16" t="str">
        <x:v>Brand</x:v>
      </x:c>
      <x:c r="B5" s="17" t="str">
        <x:v>Review volume</x:v>
      </x:c>
      <x:c r="C5" s="17" t="str">
        <x:v>Products</x:v>
      </x:c>
      <x:c r="D5" s="17" t="str">
        <x:v>Average rating</x:v>
      </x:c>
      <x:c r="E5" s="17" t="str">
        <x:v>Median price (USD)</x:v>
      </x:c>
      <x:c r="F5" s="17" t="str">
        <x:v>Price coverage</x:v>
      </x:c>
      <x:c r="G5" s="17" t="str">
        <x:v>Verified share</x:v>
      </x:c>
      <x:c r="H5" s="17" t="str">
        <x:v>Helpful votes</x:v>
      </x:c>
      <x:c r="I5" s="17" t="str">
        <x:v>Positive share</x:v>
      </x:c>
      <x:c r="J5" s="17" t="str">
        <x:v>Negative share</x:v>
      </x:c>
      <x:c r="K5" s="17" t="str">
        <x:v>Longevity mentions</x:v>
      </x:c>
      <x:c r="L5" s="17" t="str">
        <x:v>Value mentions</x:v>
      </x:c>
      <x:c r="M5" s="18" t="str">
        <x:v>Authenticity mentions</x:v>
      </x:c>
    </x:row>
    <x:row r="6">
      <x:c r="A6" s="23" t="str">
        <x:v>Bargz</x:v>
      </x:c>
      <x:c r="B6" s="33" t="n">
        <x:v>1238</x:v>
      </x:c>
      <x:c r="C6" s="33" t="n">
        <x:v>133</x:v>
      </x:c>
      <x:c r="D6" s="34" t="n">
        <x:v>4.0032310178</x:v>
      </x:c>
      <x:c r="E6" s="41" t="n">
        <x:v>13.99</x:v>
      </x:c>
      <x:c r="F6" s="36" t="n">
        <x:v>0.810177706</x:v>
      </x:c>
      <x:c r="G6" s="36" t="n">
        <x:v>0.9709208401</x:v>
      </x:c>
      <x:c r="H6" s="33" t="n">
        <x:v>1358</x:v>
      </x:c>
      <x:c r="I6" s="36" t="n">
        <x:v>0.7237479806</x:v>
      </x:c>
      <x:c r="J6" s="36" t="n">
        <x:v>0.1890145396</x:v>
      </x:c>
      <x:c r="K6" s="33" t="n">
        <x:v>34</x:v>
      </x:c>
      <x:c r="L6" s="33" t="n">
        <x:v>15</x:v>
      </x:c>
      <x:c r="M6" s="33" t="n">
        <x:v>21</x:v>
      </x:c>
    </x:row>
    <x:row r="7">
      <x:c r="A7" s="24" t="str">
        <x:v>Bath &amp; Body Works</x:v>
      </x:c>
      <x:c r="B7" s="27" t="n">
        <x:v>522</x:v>
      </x:c>
      <x:c r="C7" s="27" t="n">
        <x:v>117</x:v>
      </x:c>
      <x:c r="D7" s="29" t="n">
        <x:v>4.4252873563</x:v>
      </x:c>
      <x:c r="E7" s="42" t="n">
        <x:v>24.99</x:v>
      </x:c>
      <x:c r="F7" s="28" t="n">
        <x:v>0.6704980843</x:v>
      </x:c>
      <x:c r="G7" s="28" t="n">
        <x:v>0.9808429119</x:v>
      </x:c>
      <x:c r="H7" s="27" t="n">
        <x:v>250</x:v>
      </x:c>
      <x:c r="I7" s="28" t="n">
        <x:v>0.8409961686</x:v>
      </x:c>
      <x:c r="J7" s="28" t="n">
        <x:v>0.1206896552</x:v>
      </x:c>
      <x:c r="K7" s="27" t="n">
        <x:v>7</x:v>
      </x:c>
      <x:c r="L7" s="27" t="n">
        <x:v>8</x:v>
      </x:c>
      <x:c r="M7" s="27" t="n">
        <x:v>4</x:v>
      </x:c>
    </x:row>
    <x:row r="8">
      <x:c r="A8" s="24" t="str">
        <x:v>Paco Rabanne</x:v>
      </x:c>
      <x:c r="B8" s="27" t="n">
        <x:v>426</x:v>
      </x:c>
      <x:c r="C8" s="27" t="n">
        <x:v>9</x:v>
      </x:c>
      <x:c r="D8" s="29" t="n">
        <x:v>4.279342723</x:v>
      </x:c>
      <x:c r="E8" s="42" t="n">
        <x:v>63.49</x:v>
      </x:c>
      <x:c r="F8" s="28" t="n">
        <x:v>0.8708920188</x:v>
      </x:c>
      <x:c r="G8" s="28" t="n">
        <x:v>0.9694835681</x:v>
      </x:c>
      <x:c r="H8" s="27" t="n">
        <x:v>361</x:v>
      </x:c>
      <x:c r="I8" s="28" t="n">
        <x:v>0.8145539906</x:v>
      </x:c>
      <x:c r="J8" s="28" t="n">
        <x:v>0.1431924883</x:v>
      </x:c>
      <x:c r="K8" s="27" t="n">
        <x:v>6</x:v>
      </x:c>
      <x:c r="L8" s="27" t="n">
        <x:v>7</x:v>
      </x:c>
      <x:c r="M8" s="27" t="n">
        <x:v>26</x:v>
      </x:c>
    </x:row>
    <x:row r="9">
      <x:c r="A9" s="24" t="str">
        <x:v>Shakira</x:v>
      </x:c>
      <x:c r="B9" s="27" t="n">
        <x:v>307</x:v>
      </x:c>
      <x:c r="C9" s="27" t="n">
        <x:v>3</x:v>
      </x:c>
      <x:c r="D9" s="29" t="n">
        <x:v>4.1172638436</x:v>
      </x:c>
      <x:c r="E9" s="42" t="n">
        <x:v>29.34</x:v>
      </x:c>
      <x:c r="F9" s="28" t="n">
        <x:v>0.986970684</x:v>
      </x:c>
      <x:c r="G9" s="28" t="n">
        <x:v>0.8892508143</x:v>
      </x:c>
      <x:c r="H9" s="27" t="n">
        <x:v>472</x:v>
      </x:c>
      <x:c r="I9" s="28" t="n">
        <x:v>0.7557003257</x:v>
      </x:c>
      <x:c r="J9" s="28" t="n">
        <x:v>0.1693811075</x:v>
      </x:c>
      <x:c r="K9" s="27" t="n">
        <x:v>13</x:v>
      </x:c>
      <x:c r="L9" s="27" t="n">
        <x:v>3</x:v>
      </x:c>
      <x:c r="M9" s="27" t="n">
        <x:v>4</x:v>
      </x:c>
    </x:row>
    <x:row r="10">
      <x:c r="A10" s="24" t="str">
        <x:v>Victoria's Secret</x:v>
      </x:c>
      <x:c r="B10" s="27" t="n">
        <x:v>300</x:v>
      </x:c>
      <x:c r="C10" s="27" t="n">
        <x:v>77</x:v>
      </x:c>
      <x:c r="D10" s="29" t="n">
        <x:v>4.4433333333</x:v>
      </x:c>
      <x:c r="E10" s="42" t="n">
        <x:v>34.49</x:v>
      </x:c>
      <x:c r="F10" s="28" t="n">
        <x:v>0.44</x:v>
      </x:c>
      <x:c r="G10" s="28" t="n">
        <x:v>0.9766666667</x:v>
      </x:c>
      <x:c r="H10" s="27" t="n">
        <x:v>109</x:v>
      </x:c>
      <x:c r="I10" s="28" t="n">
        <x:v>0.85</x:v>
      </x:c>
      <x:c r="J10" s="28" t="n">
        <x:v>0.1033333333</x:v>
      </x:c>
      <x:c r="K10" s="27" t="n">
        <x:v>2</x:v>
      </x:c>
      <x:c r="L10" s="27" t="n">
        <x:v>3</x:v>
      </x:c>
      <x:c r="M10" s="27" t="n">
        <x:v>4</x:v>
      </x:c>
    </x:row>
    <x:row r="11">
      <x:c r="A11" s="24" t="str">
        <x:v>Prince Matchabelli</x:v>
      </x:c>
      <x:c r="B11" s="27" t="n">
        <x:v>258</x:v>
      </x:c>
      <x:c r="C11" s="27" t="n">
        <x:v>3</x:v>
      </x:c>
      <x:c r="D11" s="29" t="n">
        <x:v>4.4341085271</x:v>
      </x:c>
      <x:c r="E11" s="42" t="n">
        <x:v>18.95</x:v>
      </x:c>
      <x:c r="F11" s="28" t="n">
        <x:v>0.7829457364</x:v>
      </x:c>
      <x:c r="G11" s="28" t="n">
        <x:v>0.984496124</x:v>
      </x:c>
      <x:c r="H11" s="27" t="n">
        <x:v>258</x:v>
      </x:c>
      <x:c r="I11" s="28" t="n">
        <x:v>0.8449612403</x:v>
      </x:c>
      <x:c r="J11" s="28" t="n">
        <x:v>0.1240310078</x:v>
      </x:c>
      <x:c r="K11" s="27" t="n">
        <x:v>3</x:v>
      </x:c>
      <x:c r="L11" s="27" t="n">
        <x:v>3</x:v>
      </x:c>
      <x:c r="M11" s="27" t="n">
        <x:v>3</x:v>
      </x:c>
    </x:row>
    <x:row r="12">
      <x:c r="A12" s="24" t="str">
        <x:v>AVON</x:v>
      </x:c>
      <x:c r="B12" s="27" t="n">
        <x:v>240</x:v>
      </x:c>
      <x:c r="C12" s="27" t="n">
        <x:v>50</x:v>
      </x:c>
      <x:c r="D12" s="29" t="n">
        <x:v>4.55</x:v>
      </x:c>
      <x:c r="E12" s="42" t="n">
        <x:v>19.15</x:v>
      </x:c>
      <x:c r="F12" s="28" t="n">
        <x:v>0.7208333333</x:v>
      </x:c>
      <x:c r="G12" s="28" t="n">
        <x:v>0.975</x:v>
      </x:c>
      <x:c r="H12" s="27" t="n">
        <x:v>66</x:v>
      </x:c>
      <x:c r="I12" s="28" t="n">
        <x:v>0.8875</x:v>
      </x:c>
      <x:c r="J12" s="28" t="n">
        <x:v>0.0791666667</x:v>
      </x:c>
      <x:c r="K12" s="27" t="n">
        <x:v>3</x:v>
      </x:c>
      <x:c r="L12" s="27" t="n">
        <x:v>2</x:v>
      </x:c>
      <x:c r="M12" s="27" t="n">
        <x:v>3</x:v>
      </x:c>
    </x:row>
    <x:row r="13">
      <x:c r="A13" s="24" t="str">
        <x:v>Watermark Beauty</x:v>
      </x:c>
      <x:c r="B13" s="27" t="n">
        <x:v>234</x:v>
      </x:c>
      <x:c r="C13" s="27" t="n">
        <x:v>45</x:v>
      </x:c>
      <x:c r="D13" s="29" t="n">
        <x:v>3.6837606838</x:v>
      </x:c>
      <x:c r="E13" s="42"/>
      <x:c r="F13" s="28" t="n">
        <x:v>0</x:v>
      </x:c>
      <x:c r="G13" s="28" t="n">
        <x:v>0.8290598291</x:v>
      </x:c>
      <x:c r="H13" s="27" t="n">
        <x:v>154</x:v>
      </x:c>
      <x:c r="I13" s="28" t="n">
        <x:v>0.6538461538</x:v>
      </x:c>
      <x:c r="J13" s="28" t="n">
        <x:v>0.2564102564</x:v>
      </x:c>
      <x:c r="K13" s="27" t="n">
        <x:v>15</x:v>
      </x:c>
      <x:c r="L13" s="27" t="n">
        <x:v>5</x:v>
      </x:c>
      <x:c r="M13" s="27" t="n">
        <x:v>6</x:v>
      </x:c>
    </x:row>
    <x:row r="14">
      <x:c r="A14" s="24" t="str">
        <x:v>Parfums De Coeur</x:v>
      </x:c>
      <x:c r="B14" s="27" t="n">
        <x:v>201</x:v>
      </x:c>
      <x:c r="C14" s="27" t="n">
        <x:v>6</x:v>
      </x:c>
      <x:c r="D14" s="29" t="n">
        <x:v>4.3781094527</x:v>
      </x:c>
      <x:c r="E14" s="42" t="n">
        <x:v>18.94</x:v>
      </x:c>
      <x:c r="F14" s="28" t="n">
        <x:v>0.9900497512</x:v>
      </x:c>
      <x:c r="G14" s="28" t="n">
        <x:v>0.9353233831</x:v>
      </x:c>
      <x:c r="H14" s="27" t="n">
        <x:v>147</x:v>
      </x:c>
      <x:c r="I14" s="28" t="n">
        <x:v>0.8358208955</x:v>
      </x:c>
      <x:c r="J14" s="28" t="n">
        <x:v>0.1293532338</x:v>
      </x:c>
      <x:c r="K14" s="27" t="n">
        <x:v>1</x:v>
      </x:c>
      <x:c r="L14" s="27" t="n">
        <x:v>3</x:v>
      </x:c>
      <x:c r="M14" s="27" t="n">
        <x:v>3</x:v>
      </x:c>
    </x:row>
    <x:row r="15">
      <x:c r="A15" s="24" t="str">
        <x:v>Nenuco</x:v>
      </x:c>
      <x:c r="B15" s="27" t="n">
        <x:v>176</x:v>
      </x:c>
      <x:c r="C15" s="27" t="n">
        <x:v>1</x:v>
      </x:c>
      <x:c r="D15" s="29" t="n">
        <x:v>4.6534090909</x:v>
      </x:c>
      <x:c r="E15" s="42" t="n">
        <x:v>17.99</x:v>
      </x:c>
      <x:c r="F15" s="28" t="n">
        <x:v>1</x:v>
      </x:c>
      <x:c r="G15" s="28" t="n">
        <x:v>0.9829545455</x:v>
      </x:c>
      <x:c r="H15" s="27" t="n">
        <x:v>85</x:v>
      </x:c>
      <x:c r="I15" s="28" t="n">
        <x:v>0.8920454545</x:v>
      </x:c>
      <x:c r="J15" s="28" t="n">
        <x:v>0.0681818182</x:v>
      </x:c>
      <x:c r="K15" s="27" t="n">
        <x:v>7</x:v>
      </x:c>
      <x:c r="L15" s="27" t="n">
        <x:v>3</x:v>
      </x:c>
      <x:c r="M15" s="27" t="n">
        <x:v>4</x:v>
      </x:c>
    </x:row>
    <x:row r="16">
      <x:c r="A16" s="24" t="str">
        <x:v>Swiss Arabian</x:v>
      </x:c>
      <x:c r="B16" s="27" t="n">
        <x:v>163</x:v>
      </x:c>
      <x:c r="C16" s="27" t="n">
        <x:v>26</x:v>
      </x:c>
      <x:c r="D16" s="29" t="n">
        <x:v>3.9386503067</x:v>
      </x:c>
      <x:c r="E16" s="42" t="n">
        <x:v>44.615</x:v>
      </x:c>
      <x:c r="F16" s="28" t="n">
        <x:v>0.2576687117</x:v>
      </x:c>
      <x:c r="G16" s="28" t="n">
        <x:v>0.8834355828</x:v>
      </x:c>
      <x:c r="H16" s="27" t="n">
        <x:v>240</x:v>
      </x:c>
      <x:c r="I16" s="28" t="n">
        <x:v>0.6871165644</x:v>
      </x:c>
      <x:c r="J16" s="28" t="n">
        <x:v>0.2024539877</x:v>
      </x:c>
      <x:c r="K16" s="27" t="n">
        <x:v>5</x:v>
      </x:c>
      <x:c r="L16" s="27" t="n">
        <x:v>4</x:v>
      </x:c>
      <x:c r="M16" s="27" t="n">
        <x:v>2</x:v>
      </x:c>
    </x:row>
    <x:row r="17">
      <x:c r="A17" s="24" t="str">
        <x:v>Perfume</x:v>
      </x:c>
      <x:c r="B17" s="27" t="n">
        <x:v>161</x:v>
      </x:c>
      <x:c r="C17" s="27" t="n">
        <x:v>3</x:v>
      </x:c>
      <x:c r="D17" s="29" t="n">
        <x:v>3.602484472</x:v>
      </x:c>
      <x:c r="E17" s="42" t="n">
        <x:v>38</x:v>
      </x:c>
      <x:c r="F17" s="28" t="n">
        <x:v>1</x:v>
      </x:c>
      <x:c r="G17" s="28" t="n">
        <x:v>0.9875776398</x:v>
      </x:c>
      <x:c r="H17" s="27" t="n">
        <x:v>237</x:v>
      </x:c>
      <x:c r="I17" s="28" t="n">
        <x:v>0.6273291925</x:v>
      </x:c>
      <x:c r="J17" s="28" t="n">
        <x:v>0.3167701863</x:v>
      </x:c>
      <x:c r="K17" s="27" t="n">
        <x:v>1</x:v>
      </x:c>
      <x:c r="L17" s="27" t="n">
        <x:v>14</x:v>
      </x:c>
      <x:c r="M17" s="27" t="n">
        <x:v>1</x:v>
      </x:c>
    </x:row>
    <x:row r="18">
      <x:c r="A18" s="24" t="str">
        <x:v>Gucci</x:v>
      </x:c>
      <x:c r="B18" s="27" t="n">
        <x:v>134</x:v>
      </x:c>
      <x:c r="C18" s="27" t="n">
        <x:v>13</x:v>
      </x:c>
      <x:c r="D18" s="29" t="n">
        <x:v>4.2537313433</x:v>
      </x:c>
      <x:c r="E18" s="42" t="n">
        <x:v>69.99</x:v>
      </x:c>
      <x:c r="F18" s="28" t="n">
        <x:v>0.6194029851</x:v>
      </x:c>
      <x:c r="G18" s="28" t="n">
        <x:v>0.9552238806</x:v>
      </x:c>
      <x:c r="H18" s="27" t="n">
        <x:v>70</x:v>
      </x:c>
      <x:c r="I18" s="28" t="n">
        <x:v>0.8134328358</x:v>
      </x:c>
      <x:c r="J18" s="28" t="n">
        <x:v>0.1791044776</x:v>
      </x:c>
      <x:c r="K18" s="27" t="n">
        <x:v>1</x:v>
      </x:c>
      <x:c r="L18" s="27" t="n">
        <x:v>2</x:v>
      </x:c>
      <x:c r="M18" s="27" t="n">
        <x:v>2</x:v>
      </x:c>
    </x:row>
    <x:row r="19">
      <x:c r="A19" s="24" t="str">
        <x:v>AMMAX</x:v>
      </x:c>
      <x:c r="B19" s="27" t="n">
        <x:v>130</x:v>
      </x:c>
      <x:c r="C19" s="27" t="n">
        <x:v>2</x:v>
      </x:c>
      <x:c r="D19" s="29" t="n">
        <x:v>4.2076923077</x:v>
      </x:c>
      <x:c r="E19" s="42"/>
      <x:c r="F19" s="28" t="n">
        <x:v>0</x:v>
      </x:c>
      <x:c r="G19" s="28" t="n">
        <x:v>1</x:v>
      </x:c>
      <x:c r="H19" s="27" t="n">
        <x:v>36</x:v>
      </x:c>
      <x:c r="I19" s="28" t="n">
        <x:v>0.7769230769</x:v>
      </x:c>
      <x:c r="J19" s="28" t="n">
        <x:v>0.1615384615</x:v>
      </x:c>
      <x:c r="K19" s="27" t="n">
        <x:v>0</x:v>
      </x:c>
      <x:c r="L19" s="27" t="n">
        <x:v>0</x:v>
      </x:c>
      <x:c r="M19" s="27" t="n">
        <x:v>0</x:v>
      </x:c>
    </x:row>
    <x:row r="20">
      <x:c r="A20" s="24" t="str">
        <x:v>WagsMarket</x:v>
      </x:c>
      <x:c r="B20" s="27" t="n">
        <x:v>124</x:v>
      </x:c>
      <x:c r="C20" s="27" t="n">
        <x:v>2</x:v>
      </x:c>
      <x:c r="D20" s="29" t="n">
        <x:v>4.3790322581</x:v>
      </x:c>
      <x:c r="E20" s="42" t="n">
        <x:v>24.99</x:v>
      </x:c>
      <x:c r="F20" s="28" t="n">
        <x:v>1</x:v>
      </x:c>
      <x:c r="G20" s="28" t="n">
        <x:v>0.9919354839</x:v>
      </x:c>
      <x:c r="H20" s="27" t="n">
        <x:v>133</x:v>
      </x:c>
      <x:c r="I20" s="28" t="n">
        <x:v>0.814516129</x:v>
      </x:c>
      <x:c r="J20" s="28" t="n">
        <x:v>0.1048387097</x:v>
      </x:c>
      <x:c r="K20" s="27" t="n">
        <x:v>3</x:v>
      </x:c>
      <x:c r="L20" s="27" t="n">
        <x:v>1</x:v>
      </x:c>
      <x:c r="M20" s="27" t="n">
        <x:v>1</x:v>
      </x:c>
    </x:row>
    <x:row r="21">
      <x:c r="A21" s="24" t="str">
        <x:v>Tru Fragrance &amp; Beauty</x:v>
      </x:c>
      <x:c r="B21" s="27" t="n">
        <x:v>119</x:v>
      </x:c>
      <x:c r="C21" s="27" t="n">
        <x:v>25</x:v>
      </x:c>
      <x:c r="D21" s="29" t="n">
        <x:v>4.1596638655</x:v>
      </x:c>
      <x:c r="E21" s="42" t="n">
        <x:v>27.47</x:v>
      </x:c>
      <x:c r="F21" s="28" t="n">
        <x:v>0.1848739496</x:v>
      </x:c>
      <x:c r="G21" s="28" t="n">
        <x:v>0.9411764706</x:v>
      </x:c>
      <x:c r="H21" s="27" t="n">
        <x:v>106</x:v>
      </x:c>
      <x:c r="I21" s="28" t="n">
        <x:v>0.7647058824</x:v>
      </x:c>
      <x:c r="J21" s="28" t="n">
        <x:v>0.1680672269</x:v>
      </x:c>
      <x:c r="K21" s="27" t="n">
        <x:v>3</x:v>
      </x:c>
      <x:c r="L21" s="27" t="n">
        <x:v>2</x:v>
      </x:c>
      <x:c r="M21" s="27" t="n">
        <x:v>0</x:v>
      </x:c>
    </x:row>
    <x:row r="22">
      <x:c r="A22" s="24" t="str">
        <x:v>Perfume Studio</x:v>
      </x:c>
      <x:c r="B22" s="27" t="n">
        <x:v>117</x:v>
      </x:c>
      <x:c r="C22" s="27" t="n">
        <x:v>7</x:v>
      </x:c>
      <x:c r="D22" s="29" t="n">
        <x:v>4.188034188</x:v>
      </x:c>
      <x:c r="E22" s="42" t="n">
        <x:v>32.99</x:v>
      </x:c>
      <x:c r="F22" s="28" t="n">
        <x:v>0.9572649573</x:v>
      </x:c>
      <x:c r="G22" s="28" t="n">
        <x:v>0.9572649573</x:v>
      </x:c>
      <x:c r="H22" s="27" t="n">
        <x:v>323</x:v>
      </x:c>
      <x:c r="I22" s="28" t="n">
        <x:v>0.7863247863</x:v>
      </x:c>
      <x:c r="J22" s="28" t="n">
        <x:v>0.1623931624</x:v>
      </x:c>
      <x:c r="K22" s="27" t="n">
        <x:v>3</x:v>
      </x:c>
      <x:c r="L22" s="27" t="n">
        <x:v>3</x:v>
      </x:c>
      <x:c r="M22" s="27" t="n">
        <x:v>1</x:v>
      </x:c>
    </x:row>
    <x:row r="23">
      <x:c r="A23" s="24" t="str">
        <x:v>Bioré</x:v>
      </x:c>
      <x:c r="B23" s="27" t="n">
        <x:v>114</x:v>
      </x:c>
      <x:c r="C23" s="27" t="n">
        <x:v>1</x:v>
      </x:c>
      <x:c r="D23" s="29" t="n">
        <x:v>4.2280701754</x:v>
      </x:c>
      <x:c r="E23" s="42" t="n">
        <x:v>11.95</x:v>
      </x:c>
      <x:c r="F23" s="28" t="n">
        <x:v>1</x:v>
      </x:c>
      <x:c r="G23" s="28" t="n">
        <x:v>0.6929824561</x:v>
      </x:c>
      <x:c r="H23" s="27" t="n">
        <x:v>76</x:v>
      </x:c>
      <x:c r="I23" s="28" t="n">
        <x:v>0.7894736842</x:v>
      </x:c>
      <x:c r="J23" s="28" t="n">
        <x:v>0.1315789474</x:v>
      </x:c>
      <x:c r="K23" s="27" t="n">
        <x:v>0</x:v>
      </x:c>
      <x:c r="L23" s="27" t="n">
        <x:v>3</x:v>
      </x:c>
      <x:c r="M23" s="27" t="n">
        <x:v>0</x:v>
      </x:c>
    </x:row>
    <x:row r="24">
      <x:c r="A24" s="24" t="str">
        <x:v>Cologne</x:v>
      </x:c>
      <x:c r="B24" s="27" t="n">
        <x:v>113</x:v>
      </x:c>
      <x:c r="C24" s="27" t="n">
        <x:v>4</x:v>
      </x:c>
      <x:c r="D24" s="29" t="n">
        <x:v>3.6194690265</x:v>
      </x:c>
      <x:c r="E24" s="42" t="n">
        <x:v>24.64</x:v>
      </x:c>
      <x:c r="F24" s="28" t="n">
        <x:v>0.9911504425</x:v>
      </x:c>
      <x:c r="G24" s="28" t="n">
        <x:v>0.982300885</x:v>
      </x:c>
      <x:c r="H24" s="27" t="n">
        <x:v>137</x:v>
      </x:c>
      <x:c r="I24" s="28" t="n">
        <x:v>0.592920354</x:v>
      </x:c>
      <x:c r="J24" s="28" t="n">
        <x:v>0.3008849558</x:v>
      </x:c>
      <x:c r="K24" s="27" t="n">
        <x:v>0</x:v>
      </x:c>
      <x:c r="L24" s="27" t="n">
        <x:v>5</x:v>
      </x:c>
      <x:c r="M24" s="27" t="n">
        <x:v>1</x:v>
      </x:c>
    </x:row>
    <x:row r="25">
      <x:c r="A25" s="24" t="str">
        <x:v>Coty</x:v>
      </x:c>
      <x:c r="B25" s="27" t="n">
        <x:v>104</x:v>
      </x:c>
      <x:c r="C25" s="27" t="n">
        <x:v>1</x:v>
      </x:c>
      <x:c r="D25" s="29" t="n">
        <x:v>2.375</x:v>
      </x:c>
      <x:c r="E25" s="42" t="n">
        <x:v>14.99</x:v>
      </x:c>
      <x:c r="F25" s="28" t="n">
        <x:v>1</x:v>
      </x:c>
      <x:c r="G25" s="28" t="n">
        <x:v>0.9423076923</x:v>
      </x:c>
      <x:c r="H25" s="27" t="n">
        <x:v>135</x:v>
      </x:c>
      <x:c r="I25" s="28" t="n">
        <x:v>0.2884615385</x:v>
      </x:c>
      <x:c r="J25" s="28" t="n">
        <x:v>0.625</x:v>
      </x:c>
      <x:c r="K25" s="27" t="n">
        <x:v>1</x:v>
      </x:c>
      <x:c r="L25" s="27" t="n">
        <x:v>6</x:v>
      </x:c>
      <x:c r="M25" s="27" t="n">
        <x:v>1</x:v>
      </x:c>
    </x:row>
    <x:row r="26">
      <x:c r="A26" s="24" t="str">
        <x:v>Geti Beauty</x:v>
      </x:c>
      <x:c r="B26" s="27" t="n">
        <x:v>102</x:v>
      </x:c>
      <x:c r="C26" s="27" t="n">
        <x:v>1</x:v>
      </x:c>
      <x:c r="D26" s="29" t="n">
        <x:v>4.3431372549</x:v>
      </x:c>
      <x:c r="E26" s="42"/>
      <x:c r="F26" s="28" t="n">
        <x:v>0</x:v>
      </x:c>
      <x:c r="G26" s="28" t="n">
        <x:v>0.9607843137</x:v>
      </x:c>
      <x:c r="H26" s="27" t="n">
        <x:v>97</x:v>
      </x:c>
      <x:c r="I26" s="28" t="n">
        <x:v>0.8235294118</x:v>
      </x:c>
      <x:c r="J26" s="28" t="n">
        <x:v>0.1078431373</x:v>
      </x:c>
      <x:c r="K26" s="27" t="n">
        <x:v>0</x:v>
      </x:c>
      <x:c r="L26" s="27" t="n">
        <x:v>2</x:v>
      </x:c>
      <x:c r="M26" s="27" t="n">
        <x:v>0</x:v>
      </x:c>
    </x:row>
    <x:row r="27">
      <x:c r="A27" s="24" t="str">
        <x:v>Auric Blends</x:v>
      </x:c>
      <x:c r="B27" s="27" t="n">
        <x:v>99</x:v>
      </x:c>
      <x:c r="C27" s="27" t="n">
        <x:v>2</x:v>
      </x:c>
      <x:c r="D27" s="29" t="n">
        <x:v>3.4444444444</x:v>
      </x:c>
      <x:c r="E27" s="42" t="n">
        <x:v>9.81</x:v>
      </x:c>
      <x:c r="F27" s="28" t="n">
        <x:v>1</x:v>
      </x:c>
      <x:c r="G27" s="28" t="n">
        <x:v>0.9393939394</x:v>
      </x:c>
      <x:c r="H27" s="27" t="n">
        <x:v>85</x:v>
      </x:c>
      <x:c r="I27" s="28" t="n">
        <x:v>0.5252525253</x:v>
      </x:c>
      <x:c r="J27" s="28" t="n">
        <x:v>0.3232323232</x:v>
      </x:c>
      <x:c r="K27" s="27" t="n">
        <x:v>3</x:v>
      </x:c>
      <x:c r="L27" s="27" t="n">
        <x:v>0</x:v>
      </x:c>
      <x:c r="M27" s="27" t="n">
        <x:v>1</x:v>
      </x:c>
    </x:row>
    <x:row r="28">
      <x:c r="A28" s="24" t="str">
        <x:v>Patchouli Garden</x:v>
      </x:c>
      <x:c r="B28" s="27" t="n">
        <x:v>97</x:v>
      </x:c>
      <x:c r="C28" s="27" t="n">
        <x:v>4</x:v>
      </x:c>
      <x:c r="D28" s="29" t="n">
        <x:v>4.0103092784</x:v>
      </x:c>
      <x:c r="E28" s="42" t="n">
        <x:v>11.49</x:v>
      </x:c>
      <x:c r="F28" s="28" t="n">
        <x:v>1</x:v>
      </x:c>
      <x:c r="G28" s="28" t="n">
        <x:v>0.9896907216</x:v>
      </x:c>
      <x:c r="H28" s="27" t="n">
        <x:v>88</x:v>
      </x:c>
      <x:c r="I28" s="28" t="n">
        <x:v>0.7319587629</x:v>
      </x:c>
      <x:c r="J28" s="28" t="n">
        <x:v>0.1958762887</x:v>
      </x:c>
      <x:c r="K28" s="27" t="n">
        <x:v>0</x:v>
      </x:c>
      <x:c r="L28" s="27" t="n">
        <x:v>3</x:v>
      </x:c>
      <x:c r="M28" s="27" t="n">
        <x:v>1</x:v>
      </x:c>
    </x:row>
    <x:row r="29">
      <x:c r="A29" s="24" t="str">
        <x:v>Somethin Special</x:v>
      </x:c>
      <x:c r="B29" s="27" t="n">
        <x:v>91</x:v>
      </x:c>
      <x:c r="C29" s="27" t="n">
        <x:v>1</x:v>
      </x:c>
      <x:c r="D29" s="29" t="n">
        <x:v>4.032967033</x:v>
      </x:c>
      <x:c r="E29" s="42" t="n">
        <x:v>18.99</x:v>
      </x:c>
      <x:c r="F29" s="28" t="n">
        <x:v>1</x:v>
      </x:c>
      <x:c r="G29" s="28" t="n">
        <x:v>0.989010989</x:v>
      </x:c>
      <x:c r="H29" s="27" t="n">
        <x:v>171</x:v>
      </x:c>
      <x:c r="I29" s="28" t="n">
        <x:v>0.7252747253</x:v>
      </x:c>
      <x:c r="J29" s="28" t="n">
        <x:v>0.2087912088</x:v>
      </x:c>
      <x:c r="K29" s="27" t="n">
        <x:v>1</x:v>
      </x:c>
      <x:c r="L29" s="27" t="n">
        <x:v>1</x:v>
      </x:c>
      <x:c r="M29" s="27" t="n">
        <x:v>0</x:v>
      </x:c>
    </x:row>
    <x:row r="30">
      <x:c r="A30" s="24" t="str">
        <x:v>PET SILK</x:v>
      </x:c>
      <x:c r="B30" s="27" t="n">
        <x:v>88</x:v>
      </x:c>
      <x:c r="C30" s="27" t="n">
        <x:v>1</x:v>
      </x:c>
      <x:c r="D30" s="29" t="n">
        <x:v>3.4659090909</x:v>
      </x:c>
      <x:c r="E30" s="42"/>
      <x:c r="F30" s="28" t="n">
        <x:v>0</x:v>
      </x:c>
      <x:c r="G30" s="28" t="n">
        <x:v>0.9772727273</x:v>
      </x:c>
      <x:c r="H30" s="27" t="n">
        <x:v>134</x:v>
      </x:c>
      <x:c r="I30" s="28" t="n">
        <x:v>0.5340909091</x:v>
      </x:c>
      <x:c r="J30" s="28" t="n">
        <x:v>0.2840909091</x:v>
      </x:c>
      <x:c r="K30" s="27" t="n">
        <x:v>1</x:v>
      </x:c>
      <x:c r="L30" s="27" t="n">
        <x:v>2</x:v>
      </x:c>
      <x:c r="M30" s="27" t="n">
        <x:v>0</x:v>
      </x:c>
    </x:row>
    <x:row r="31">
      <x:c r="A31" s="24" t="str">
        <x:v>Thinkpichaidai</x:v>
      </x:c>
      <x:c r="B31" s="27" t="n">
        <x:v>84</x:v>
      </x:c>
      <x:c r="C31" s="27" t="n">
        <x:v>5</x:v>
      </x:c>
      <x:c r="D31" s="29" t="n">
        <x:v>4.0119047619</x:v>
      </x:c>
      <x:c r="E31" s="42" t="n">
        <x:v>12.35</x:v>
      </x:c>
      <x:c r="F31" s="28" t="n">
        <x:v>0.1785714286</x:v>
      </x:c>
      <x:c r="G31" s="28" t="n">
        <x:v>0.9642857143</x:v>
      </x:c>
      <x:c r="H31" s="27" t="n">
        <x:v>59</x:v>
      </x:c>
      <x:c r="I31" s="28" t="n">
        <x:v>0.7142857143</x:v>
      </x:c>
      <x:c r="J31" s="28" t="n">
        <x:v>0.1904761905</x:v>
      </x:c>
      <x:c r="K31" s="27" t="n">
        <x:v>3</x:v>
      </x:c>
      <x:c r="L31" s="27" t="n">
        <x:v>3</x:v>
      </x:c>
      <x:c r="M31" s="27" t="n">
        <x:v>1</x:v>
      </x:c>
    </x:row>
    <x:row r="32">
      <x:c r="A32" s="24" t="str">
        <x:v>Jarosa Beauty</x:v>
      </x:c>
      <x:c r="B32" s="27" t="n">
        <x:v>78</x:v>
      </x:c>
      <x:c r="C32" s="27" t="n">
        <x:v>1</x:v>
      </x:c>
      <x:c r="D32" s="29" t="n">
        <x:v>4.6666666667</x:v>
      </x:c>
      <x:c r="E32" s="42"/>
      <x:c r="F32" s="28" t="n">
        <x:v>0</x:v>
      </x:c>
      <x:c r="G32" s="28" t="n">
        <x:v>0.5256410256</x:v>
      </x:c>
      <x:c r="H32" s="27" t="n">
        <x:v>57</x:v>
      </x:c>
      <x:c r="I32" s="28" t="n">
        <x:v>0.9358974359</x:v>
      </x:c>
      <x:c r="J32" s="28" t="n">
        <x:v>0.0256410256</x:v>
      </x:c>
      <x:c r="K32" s="27" t="n">
        <x:v>2</x:v>
      </x:c>
      <x:c r="L32" s="27" t="n">
        <x:v>0</x:v>
      </x:c>
      <x:c r="M32" s="27" t="n">
        <x:v>0</x:v>
      </x:c>
    </x:row>
    <x:row r="33">
      <x:c r="A33" s="24" t="str">
        <x:v>TRU Fragrance</x:v>
      </x:c>
      <x:c r="B33" s="27" t="n">
        <x:v>78</x:v>
      </x:c>
      <x:c r="C33" s="27" t="n">
        <x:v>8</x:v>
      </x:c>
      <x:c r="D33" s="29" t="n">
        <x:v>4.2051282051</x:v>
      </x:c>
      <x:c r="E33" s="42" t="n">
        <x:v>42.5</x:v>
      </x:c>
      <x:c r="F33" s="28" t="n">
        <x:v>0.1153846154</x:v>
      </x:c>
      <x:c r="G33" s="28" t="n">
        <x:v>0.8333333333</x:v>
      </x:c>
      <x:c r="H33" s="27" t="n">
        <x:v>60</x:v>
      </x:c>
      <x:c r="I33" s="28" t="n">
        <x:v>0.7564102564</x:v>
      </x:c>
      <x:c r="J33" s="28" t="n">
        <x:v>0.1282051282</x:v>
      </x:c>
      <x:c r="K33" s="27" t="n">
        <x:v>1</x:v>
      </x:c>
      <x:c r="L33" s="27" t="n">
        <x:v>1</x:v>
      </x:c>
      <x:c r="M33" s="27" t="n">
        <x:v>0</x:v>
      </x:c>
    </x:row>
    <x:row r="34">
      <x:c r="A34" s="24" t="str">
        <x:v>DHC</x:v>
      </x:c>
      <x:c r="B34" s="27" t="n">
        <x:v>69</x:v>
      </x:c>
      <x:c r="C34" s="27" t="n">
        <x:v>3</x:v>
      </x:c>
      <x:c r="D34" s="29" t="n">
        <x:v>4.5072463768</x:v>
      </x:c>
      <x:c r="E34" s="42" t="n">
        <x:v>29.25</x:v>
      </x:c>
      <x:c r="F34" s="28" t="n">
        <x:v>1</x:v>
      </x:c>
      <x:c r="G34" s="28" t="n">
        <x:v>1</x:v>
      </x:c>
      <x:c r="H34" s="27" t="n">
        <x:v>96</x:v>
      </x:c>
      <x:c r="I34" s="28" t="n">
        <x:v>0.884057971</x:v>
      </x:c>
      <x:c r="J34" s="28" t="n">
        <x:v>0.1014492754</x:v>
      </x:c>
      <x:c r="K34" s="27" t="n">
        <x:v>0</x:v>
      </x:c>
      <x:c r="L34" s="27" t="n">
        <x:v>2</x:v>
      </x:c>
      <x:c r="M34" s="27" t="n">
        <x:v>0</x:v>
      </x:c>
    </x:row>
    <x:row r="35">
      <x:c r="A35" s="24" t="str">
        <x:v>Maison Martin Margiela</x:v>
      </x:c>
      <x:c r="B35" s="27" t="n">
        <x:v>69</x:v>
      </x:c>
      <x:c r="C35" s="27" t="n">
        <x:v>2</x:v>
      </x:c>
      <x:c r="D35" s="29" t="n">
        <x:v>3.1449275362</x:v>
      </x:c>
      <x:c r="E35" s="42" t="n">
        <x:v>16.99</x:v>
      </x:c>
      <x:c r="F35" s="28" t="n">
        <x:v>0.9710144928</x:v>
      </x:c>
      <x:c r="G35" s="28" t="n">
        <x:v>0.9420289855</x:v>
      </x:c>
      <x:c r="H35" s="27" t="n">
        <x:v>85</x:v>
      </x:c>
      <x:c r="I35" s="28" t="n">
        <x:v>0.4782608696</x:v>
      </x:c>
      <x:c r="J35" s="28" t="n">
        <x:v>0.4202898551</x:v>
      </x:c>
      <x:c r="K35" s="27" t="n">
        <x:v>1</x:v>
      </x:c>
      <x:c r="L35" s="27" t="n">
        <x:v>6</x:v>
      </x:c>
      <x:c r="M35" s="27" t="n">
        <x:v>0</x:v>
      </x:c>
    </x:row>
    <x:row r="36">
      <x:c r="A36" s="24" t="str">
        <x:v>Tom Ford</x:v>
      </x:c>
      <x:c r="B36" s="27" t="n">
        <x:v>69</x:v>
      </x:c>
      <x:c r="C36" s="27" t="n">
        <x:v>16</x:v>
      </x:c>
      <x:c r="D36" s="29" t="n">
        <x:v>3.9275362319</x:v>
      </x:c>
      <x:c r="E36" s="42" t="n">
        <x:v>20.98</x:v>
      </x:c>
      <x:c r="F36" s="28" t="n">
        <x:v>0.7971014493</x:v>
      </x:c>
      <x:c r="G36" s="28" t="n">
        <x:v>0.9855072464</x:v>
      </x:c>
      <x:c r="H36" s="27" t="n">
        <x:v>51</x:v>
      </x:c>
      <x:c r="I36" s="28" t="n">
        <x:v>0.7101449275</x:v>
      </x:c>
      <x:c r="J36" s="28" t="n">
        <x:v>0.231884058</x:v>
      </x:c>
      <x:c r="K36" s="27" t="n">
        <x:v>2</x:v>
      </x:c>
      <x:c r="L36" s="27" t="n">
        <x:v>1</x:v>
      </x:c>
      <x:c r="M36" s="27" t="n">
        <x:v>0</x:v>
      </x:c>
    </x:row>
    <x:row r="37">
      <x:c r="A37" s="24" t="str">
        <x:v>EBC</x:v>
      </x:c>
      <x:c r="B37" s="27" t="n">
        <x:v>68</x:v>
      </x:c>
      <x:c r="C37" s="27" t="n">
        <x:v>1</x:v>
      </x:c>
      <x:c r="D37" s="29" t="n">
        <x:v>3.8823529412</x:v>
      </x:c>
      <x:c r="E37" s="42" t="n">
        <x:v>11.99</x:v>
      </x:c>
      <x:c r="F37" s="28" t="n">
        <x:v>1</x:v>
      </x:c>
      <x:c r="G37" s="28" t="n">
        <x:v>1</x:v>
      </x:c>
      <x:c r="H37" s="27" t="n">
        <x:v>193</x:v>
      </x:c>
      <x:c r="I37" s="28" t="n">
        <x:v>0.6911764706</x:v>
      </x:c>
      <x:c r="J37" s="28" t="n">
        <x:v>0.25</x:v>
      </x:c>
      <x:c r="K37" s="27" t="n">
        <x:v>1</x:v>
      </x:c>
      <x:c r="L37" s="27" t="n">
        <x:v>0</x:v>
      </x:c>
      <x:c r="M37" s="27" t="n">
        <x:v>0</x:v>
      </x:c>
    </x:row>
    <x:row r="38">
      <x:c r="A38" s="24" t="str">
        <x:v>Every Man Jack</x:v>
      </x:c>
      <x:c r="B38" s="27" t="n">
        <x:v>67</x:v>
      </x:c>
      <x:c r="C38" s="27" t="n">
        <x:v>3</x:v>
      </x:c>
      <x:c r="D38" s="29" t="n">
        <x:v>4</x:v>
      </x:c>
      <x:c r="E38" s="42"/>
      <x:c r="F38" s="28" t="n">
        <x:v>0</x:v>
      </x:c>
      <x:c r="G38" s="28" t="n">
        <x:v>0.9850746269</x:v>
      </x:c>
      <x:c r="H38" s="27" t="n">
        <x:v>26</x:v>
      </x:c>
      <x:c r="I38" s="28" t="n">
        <x:v>0.7313432836</x:v>
      </x:c>
      <x:c r="J38" s="28" t="n">
        <x:v>0.1940298507</x:v>
      </x:c>
      <x:c r="K38" s="27" t="n">
        <x:v>0</x:v>
      </x:c>
      <x:c r="L38" s="27" t="n">
        <x:v>0</x:v>
      </x:c>
      <x:c r="M38" s="27" t="n">
        <x:v>0</x:v>
      </x:c>
    </x:row>
    <x:row r="39">
      <x:c r="A39" s="24" t="str">
        <x:v>Art of the Root</x:v>
      </x:c>
      <x:c r="B39" s="27" t="n">
        <x:v>65</x:v>
      </x:c>
      <x:c r="C39" s="27" t="n">
        <x:v>1</x:v>
      </x:c>
      <x:c r="D39" s="29" t="n">
        <x:v>4.4307692308</x:v>
      </x:c>
      <x:c r="E39" s="42" t="n">
        <x:v>12.99</x:v>
      </x:c>
      <x:c r="F39" s="28" t="n">
        <x:v>1</x:v>
      </x:c>
      <x:c r="G39" s="28" t="n">
        <x:v>1</x:v>
      </x:c>
      <x:c r="H39" s="27" t="n">
        <x:v>423</x:v>
      </x:c>
      <x:c r="I39" s="28" t="n">
        <x:v>0.8615384615</x:v>
      </x:c>
      <x:c r="J39" s="28" t="n">
        <x:v>0.1230769231</x:v>
      </x:c>
      <x:c r="K39" s="27" t="n">
        <x:v>0</x:v>
      </x:c>
      <x:c r="L39" s="27" t="n">
        <x:v>1</x:v>
      </x:c>
      <x:c r="M39" s="27" t="n">
        <x:v>0</x:v>
      </x:c>
    </x:row>
    <x:row r="40">
      <x:c r="A40" s="24" t="str">
        <x:v>Versace</x:v>
      </x:c>
      <x:c r="B40" s="27" t="n">
        <x:v>65</x:v>
      </x:c>
      <x:c r="C40" s="27" t="n">
        <x:v>12</x:v>
      </x:c>
      <x:c r="D40" s="29" t="n">
        <x:v>4.4923076923</x:v>
      </x:c>
      <x:c r="E40" s="42" t="n">
        <x:v>51.98</x:v>
      </x:c>
      <x:c r="F40" s="28" t="n">
        <x:v>0.8923076923</x:v>
      </x:c>
      <x:c r="G40" s="28" t="n">
        <x:v>0.9692307692</x:v>
      </x:c>
      <x:c r="H40" s="27" t="n">
        <x:v>41</x:v>
      </x:c>
      <x:c r="I40" s="28" t="n">
        <x:v>0.8769230769</x:v>
      </x:c>
      <x:c r="J40" s="28" t="n">
        <x:v>0.1076923077</x:v>
      </x:c>
      <x:c r="K40" s="27" t="n">
        <x:v>2</x:v>
      </x:c>
      <x:c r="L40" s="27" t="n">
        <x:v>1</x:v>
      </x:c>
      <x:c r="M40" s="27" t="n">
        <x:v>3</x:v>
      </x:c>
    </x:row>
    <x:row r="41">
      <x:c r="A41" s="24" t="str">
        <x:v>Salam Collections</x:v>
      </x:c>
      <x:c r="B41" s="27" t="n">
        <x:v>63</x:v>
      </x:c>
      <x:c r="C41" s="27" t="n">
        <x:v>6</x:v>
      </x:c>
      <x:c r="D41" s="29" t="n">
        <x:v>4.6825396825</x:v>
      </x:c>
      <x:c r="E41" s="42"/>
      <x:c r="F41" s="28" t="n">
        <x:v>0</x:v>
      </x:c>
      <x:c r="G41" s="28" t="n">
        <x:v>0.9682539683</x:v>
      </x:c>
      <x:c r="H41" s="27" t="n">
        <x:v>33</x:v>
      </x:c>
      <x:c r="I41" s="28" t="n">
        <x:v>0.9365079365</x:v>
      </x:c>
      <x:c r="J41" s="28" t="n">
        <x:v>0.0476190476</x:v>
      </x:c>
      <x:c r="K41" s="27" t="n">
        <x:v>0</x:v>
      </x:c>
      <x:c r="L41" s="27" t="n">
        <x:v>0</x:v>
      </x:c>
      <x:c r="M41" s="27" t="n">
        <x:v>0</x:v>
      </x:c>
    </x:row>
    <x:row r="42">
      <x:c r="A42" s="24" t="str">
        <x:v>PINROSE</x:v>
      </x:c>
      <x:c r="B42" s="27" t="n">
        <x:v>62</x:v>
      </x:c>
      <x:c r="C42" s="27" t="n">
        <x:v>4</x:v>
      </x:c>
      <x:c r="D42" s="29" t="n">
        <x:v>4.0161290323</x:v>
      </x:c>
      <x:c r="E42" s="42" t="n">
        <x:v>10</x:v>
      </x:c>
      <x:c r="F42" s="28" t="n">
        <x:v>0.6612903226</x:v>
      </x:c>
      <x:c r="G42" s="28" t="n">
        <x:v>0.7096774194</x:v>
      </x:c>
      <x:c r="H42" s="27" t="n">
        <x:v>49</x:v>
      </x:c>
      <x:c r="I42" s="28" t="n">
        <x:v>0.7419354839</x:v>
      </x:c>
      <x:c r="J42" s="28" t="n">
        <x:v>0.1935483871</x:v>
      </x:c>
      <x:c r="K42" s="27" t="n">
        <x:v>2</x:v>
      </x:c>
      <x:c r="L42" s="27" t="n">
        <x:v>0</x:v>
      </x:c>
      <x:c r="M42" s="27" t="n">
        <x:v>0</x:v>
      </x:c>
    </x:row>
    <x:row r="43">
      <x:c r="A43" s="24" t="str">
        <x:v>Zara</x:v>
      </x:c>
      <x:c r="B43" s="27" t="n">
        <x:v>61</x:v>
      </x:c>
      <x:c r="C43" s="27" t="n">
        <x:v>22</x:v>
      </x:c>
      <x:c r="D43" s="29" t="n">
        <x:v>3.6229508197</x:v>
      </x:c>
      <x:c r="E43" s="42" t="n">
        <x:v>52.245</x:v>
      </x:c>
      <x:c r="F43" s="28" t="n">
        <x:v>0.8852459016</x:v>
      </x:c>
      <x:c r="G43" s="28" t="n">
        <x:v>0.9180327869</x:v>
      </x:c>
      <x:c r="H43" s="27" t="n">
        <x:v>51</x:v>
      </x:c>
      <x:c r="I43" s="28" t="n">
        <x:v>0.6229508197</x:v>
      </x:c>
      <x:c r="J43" s="28" t="n">
        <x:v>0.2950819672</x:v>
      </x:c>
      <x:c r="K43" s="27" t="n">
        <x:v>2</x:v>
      </x:c>
      <x:c r="L43" s="27" t="n">
        <x:v>1</x:v>
      </x:c>
      <x:c r="M43" s="27" t="n">
        <x:v>1</x:v>
      </x:c>
    </x:row>
    <x:row r="44">
      <x:c r="A44" s="24" t="str">
        <x:v>Clinique</x:v>
      </x:c>
      <x:c r="B44" s="27" t="n">
        <x:v>60</x:v>
      </x:c>
      <x:c r="C44" s="27" t="n">
        <x:v>10</x:v>
      </x:c>
      <x:c r="D44" s="29" t="n">
        <x:v>3.95</x:v>
      </x:c>
      <x:c r="E44" s="42" t="n">
        <x:v>33.88</x:v>
      </x:c>
      <x:c r="F44" s="28" t="n">
        <x:v>0.85</x:v>
      </x:c>
      <x:c r="G44" s="28" t="n">
        <x:v>0.9833333333</x:v>
      </x:c>
      <x:c r="H44" s="27" t="n">
        <x:v>29</x:v>
      </x:c>
      <x:c r="I44" s="28" t="n">
        <x:v>0.6833333333</x:v>
      </x:c>
      <x:c r="J44" s="28" t="n">
        <x:v>0.2166666667</x:v>
      </x:c>
      <x:c r="K44" s="27" t="n">
        <x:v>0</x:v>
      </x:c>
      <x:c r="L44" s="27" t="n">
        <x:v>1</x:v>
      </x:c>
      <x:c r="M44" s="27" t="n">
        <x:v>2</x:v>
      </x:c>
    </x:row>
    <x:row r="45">
      <x:c r="A45" s="24" t="str">
        <x:v>Lattafa</x:v>
      </x:c>
      <x:c r="B45" s="27" t="n">
        <x:v>60</x:v>
      </x:c>
      <x:c r="C45" s="27" t="n">
        <x:v>12</x:v>
      </x:c>
      <x:c r="D45" s="29" t="n">
        <x:v>4.0833333333</x:v>
      </x:c>
      <x:c r="E45" s="42" t="n">
        <x:v>27.86</x:v>
      </x:c>
      <x:c r="F45" s="28" t="n">
        <x:v>1</x:v>
      </x:c>
      <x:c r="G45" s="28" t="n">
        <x:v>0.9833333333</x:v>
      </x:c>
      <x:c r="H45" s="27" t="n">
        <x:v>149</x:v>
      </x:c>
      <x:c r="I45" s="28" t="n">
        <x:v>0.7</x:v>
      </x:c>
      <x:c r="J45" s="28" t="n">
        <x:v>0.1666666667</x:v>
      </x:c>
      <x:c r="K45" s="27" t="n">
        <x:v>1</x:v>
      </x:c>
      <x:c r="L45" s="27" t="n">
        <x:v>0</x:v>
      </x:c>
      <x:c r="M45" s="27" t="n">
        <x:v>2</x:v>
      </x:c>
    </x:row>
    <x:row r="46">
      <x:c r="A46" s="24" t="str">
        <x:v>PREFERRED FRAGRANCE</x:v>
      </x:c>
      <x:c r="B46" s="27" t="n">
        <x:v>60</x:v>
      </x:c>
      <x:c r="C46" s="27" t="n">
        <x:v>10</x:v>
      </x:c>
      <x:c r="D46" s="29" t="n">
        <x:v>3.8666666667</x:v>
      </x:c>
      <x:c r="E46" s="42" t="n">
        <x:v>12.95</x:v>
      </x:c>
      <x:c r="F46" s="28" t="n">
        <x:v>0.65</x:v>
      </x:c>
      <x:c r="G46" s="28" t="n">
        <x:v>0.9166666667</x:v>
      </x:c>
      <x:c r="H46" s="27" t="n">
        <x:v>92</x:v>
      </x:c>
      <x:c r="I46" s="28" t="n">
        <x:v>0.7166666667</x:v>
      </x:c>
      <x:c r="J46" s="28" t="n">
        <x:v>0.2333333333</x:v>
      </x:c>
      <x:c r="K46" s="27" t="n">
        <x:v>6</x:v>
      </x:c>
      <x:c r="L46" s="27" t="n">
        <x:v>0</x:v>
      </x:c>
      <x:c r="M46" s="27" t="n">
        <x:v>1</x:v>
      </x:c>
    </x:row>
    <x:row r="47">
      <x:c r="A47" s="24" t="str">
        <x:v>Fragrance Club Genealogy Collection</x:v>
      </x:c>
      <x:c r="B47" s="27" t="n">
        <x:v>58</x:v>
      </x:c>
      <x:c r="C47" s="27" t="n">
        <x:v>2</x:v>
      </x:c>
      <x:c r="D47" s="29" t="n">
        <x:v>3.8103448276</x:v>
      </x:c>
      <x:c r="E47" s="42" t="n">
        <x:v>34.95</x:v>
      </x:c>
      <x:c r="F47" s="28" t="n">
        <x:v>1</x:v>
      </x:c>
      <x:c r="G47" s="28" t="n">
        <x:v>0.9827586207</x:v>
      </x:c>
      <x:c r="H47" s="27" t="n">
        <x:v>66</x:v>
      </x:c>
      <x:c r="I47" s="28" t="n">
        <x:v>0.6896551724</x:v>
      </x:c>
      <x:c r="J47" s="28" t="n">
        <x:v>0.275862069</x:v>
      </x:c>
      <x:c r="K47" s="27" t="n">
        <x:v>3</x:v>
      </x:c>
      <x:c r="L47" s="27" t="n">
        <x:v>1</x:v>
      </x:c>
      <x:c r="M47" s="27" t="n">
        <x:v>1</x:v>
      </x:c>
    </x:row>
    <x:row r="48">
      <x:c r="A48" s="24" t="str">
        <x:v>Bath and Body Works</x:v>
      </x:c>
      <x:c r="B48" s="27" t="n">
        <x:v>56</x:v>
      </x:c>
      <x:c r="C48" s="27" t="n">
        <x:v>17</x:v>
      </x:c>
      <x:c r="D48" s="29" t="n">
        <x:v>4.4464285714</x:v>
      </x:c>
      <x:c r="E48" s="42" t="n">
        <x:v>16.98</x:v>
      </x:c>
      <x:c r="F48" s="28" t="n">
        <x:v>0.2678571429</x:v>
      </x:c>
      <x:c r="G48" s="28" t="n">
        <x:v>1</x:v>
      </x:c>
      <x:c r="H48" s="27" t="n">
        <x:v>21</x:v>
      </x:c>
      <x:c r="I48" s="28" t="n">
        <x:v>0.8571428571</x:v>
      </x:c>
      <x:c r="J48" s="28" t="n">
        <x:v>0.1071428571</x:v>
      </x:c>
      <x:c r="K48" s="27" t="n">
        <x:v>1</x:v>
      </x:c>
      <x:c r="L48" s="27" t="n">
        <x:v>2</x:v>
      </x:c>
      <x:c r="M48" s="27" t="n">
        <x:v>0</x:v>
      </x:c>
    </x:row>
    <x:row r="49">
      <x:c r="A49" s="24" t="str">
        <x:v>Zents</x:v>
      </x:c>
      <x:c r="B49" s="27" t="n">
        <x:v>56</x:v>
      </x:c>
      <x:c r="C49" s="27" t="n">
        <x:v>2</x:v>
      </x:c>
      <x:c r="D49" s="29" t="n">
        <x:v>4.3392857143</x:v>
      </x:c>
      <x:c r="E49" s="42" t="n">
        <x:v>55</x:v>
      </x:c>
      <x:c r="F49" s="28" t="n">
        <x:v>0.9821428571</x:v>
      </x:c>
      <x:c r="G49" s="28" t="n">
        <x:v>0.9464285714</x:v>
      </x:c>
      <x:c r="H49" s="27" t="n">
        <x:v>33</x:v>
      </x:c>
      <x:c r="I49" s="28" t="n">
        <x:v>0.8035714286</x:v>
      </x:c>
      <x:c r="J49" s="28" t="n">
        <x:v>0.1428571429</x:v>
      </x:c>
      <x:c r="K49" s="27" t="n">
        <x:v>0</x:v>
      </x:c>
      <x:c r="L49" s="27" t="n">
        <x:v>4</x:v>
      </x:c>
      <x:c r="M49" s="27" t="n">
        <x:v>0</x:v>
      </x:c>
    </x:row>
    <x:row r="50">
      <x:c r="A50" s="24" t="str">
        <x:v>ARMAF</x:v>
      </x:c>
      <x:c r="B50" s="27" t="n">
        <x:v>55</x:v>
      </x:c>
      <x:c r="C50" s="27" t="n">
        <x:v>9</x:v>
      </x:c>
      <x:c r="D50" s="29" t="n">
        <x:v>3.9454545455</x:v>
      </x:c>
      <x:c r="E50" s="42" t="n">
        <x:v>30.99</x:v>
      </x:c>
      <x:c r="F50" s="28" t="n">
        <x:v>0.8</x:v>
      </x:c>
      <x:c r="G50" s="28" t="n">
        <x:v>0.9454545455</x:v>
      </x:c>
      <x:c r="H50" s="27" t="n">
        <x:v>13</x:v>
      </x:c>
      <x:c r="I50" s="28" t="n">
        <x:v>0.7636363636</x:v>
      </x:c>
      <x:c r="J50" s="28" t="n">
        <x:v>0.2</x:v>
      </x:c>
      <x:c r="K50" s="27" t="n">
        <x:v>3</x:v>
      </x:c>
      <x:c r="L50" s="27" t="n">
        <x:v>1</x:v>
      </x:c>
      <x:c r="M50" s="27" t="n">
        <x:v>2</x:v>
      </x:c>
    </x:row>
    <x:row r="51">
      <x:c r="A51" s="24" t="str">
        <x:v>The Hawaiian Classic Perfumes Collection</x:v>
      </x:c>
      <x:c r="B51" s="27" t="n">
        <x:v>55</x:v>
      </x:c>
      <x:c r="C51" s="27" t="n">
        <x:v>2</x:v>
      </x:c>
      <x:c r="D51" s="29" t="n">
        <x:v>4.6545454545</x:v>
      </x:c>
      <x:c r="E51" s="42" t="n">
        <x:v>88</x:v>
      </x:c>
      <x:c r="F51" s="28" t="n">
        <x:v>0.1272727273</x:v>
      </x:c>
      <x:c r="G51" s="28" t="n">
        <x:v>0.9272727273</x:v>
      </x:c>
      <x:c r="H51" s="27" t="n">
        <x:v>23</x:v>
      </x:c>
      <x:c r="I51" s="28" t="n">
        <x:v>0.9272727273</x:v>
      </x:c>
      <x:c r="J51" s="28" t="n">
        <x:v>0.0545454545</x:v>
      </x:c>
      <x:c r="K51" s="27" t="n">
        <x:v>0</x:v>
      </x:c>
      <x:c r="L51" s="27" t="n">
        <x:v>1</x:v>
      </x:c>
      <x:c r="M51" s="27" t="n">
        <x:v>0</x:v>
      </x:c>
    </x:row>
    <x:row r="52">
      <x:c r="A52" s="24" t="str">
        <x:v>Calgon</x:v>
      </x:c>
      <x:c r="B52" s="27" t="n">
        <x:v>54</x:v>
      </x:c>
      <x:c r="C52" s="27" t="n">
        <x:v>5</x:v>
      </x:c>
      <x:c r="D52" s="29" t="n">
        <x:v>4.2222222222</x:v>
      </x:c>
      <x:c r="E52" s="42" t="n">
        <x:v>23.69</x:v>
      </x:c>
      <x:c r="F52" s="28" t="n">
        <x:v>0.3888888889</x:v>
      </x:c>
      <x:c r="G52" s="28" t="n">
        <x:v>0.9814814815</x:v>
      </x:c>
      <x:c r="H52" s="27" t="n">
        <x:v>78</x:v>
      </x:c>
      <x:c r="I52" s="28" t="n">
        <x:v>0.7407407407</x:v>
      </x:c>
      <x:c r="J52" s="28" t="n">
        <x:v>0.1666666667</x:v>
      </x:c>
      <x:c r="K52" s="27" t="n">
        <x:v>0</x:v>
      </x:c>
      <x:c r="L52" s="27" t="n">
        <x:v>2</x:v>
      </x:c>
      <x:c r="M52" s="27" t="n">
        <x:v>0</x:v>
      </x:c>
    </x:row>
    <x:row r="53">
      <x:c r="A53" s="24" t="str">
        <x:v>Avon</x:v>
      </x:c>
      <x:c r="B53" s="27" t="n">
        <x:v>52</x:v>
      </x:c>
      <x:c r="C53" s="27" t="n">
        <x:v>10</x:v>
      </x:c>
      <x:c r="D53" s="29" t="n">
        <x:v>4.5961538462</x:v>
      </x:c>
      <x:c r="E53" s="42" t="n">
        <x:v>37.49</x:v>
      </x:c>
      <x:c r="F53" s="28" t="n">
        <x:v>0.1346153846</x:v>
      </x:c>
      <x:c r="G53" s="28" t="n">
        <x:v>1</x:v>
      </x:c>
      <x:c r="H53" s="27" t="n">
        <x:v>22</x:v>
      </x:c>
      <x:c r="I53" s="28" t="n">
        <x:v>0.8461538462</x:v>
      </x:c>
      <x:c r="J53" s="28" t="n">
        <x:v>0.0576923077</x:v>
      </x:c>
      <x:c r="K53" s="27" t="n">
        <x:v>1</x:v>
      </x:c>
      <x:c r="L53" s="27" t="n">
        <x:v>1</x:v>
      </x:c>
      <x:c r="M53" s="27" t="n">
        <x:v>1</x:v>
      </x:c>
    </x:row>
    <x:row r="54">
      <x:c r="A54" s="24" t="str">
        <x:v>Vegan Mia</x:v>
      </x:c>
      <x:c r="B54" s="27" t="n">
        <x:v>51</x:v>
      </x:c>
      <x:c r="C54" s="27" t="n">
        <x:v>1</x:v>
      </x:c>
      <x:c r="D54" s="29" t="n">
        <x:v>4.4509803922</x:v>
      </x:c>
      <x:c r="E54" s="42" t="n">
        <x:v>31</x:v>
      </x:c>
      <x:c r="F54" s="28" t="n">
        <x:v>1</x:v>
      </x:c>
      <x:c r="G54" s="28" t="n">
        <x:v>0.0392156863</x:v>
      </x:c>
      <x:c r="H54" s="27" t="n">
        <x:v>15</x:v>
      </x:c>
      <x:c r="I54" s="28" t="n">
        <x:v>0.8823529412</x:v>
      </x:c>
      <x:c r="J54" s="28" t="n">
        <x:v>0.0392156863</x:v>
      </x:c>
      <x:c r="K54" s="27" t="n">
        <x:v>0</x:v>
      </x:c>
      <x:c r="L54" s="27" t="n">
        <x:v>3</x:v>
      </x:c>
      <x:c r="M54" s="27" t="n">
        <x:v>0</x:v>
      </x:c>
    </x:row>
    <x:row r="55">
      <x:c r="A55" s="24" t="str">
        <x:v>BVLGARI</x:v>
      </x:c>
      <x:c r="B55" s="27" t="n">
        <x:v>50</x:v>
      </x:c>
      <x:c r="C55" s="27" t="n">
        <x:v>14</x:v>
      </x:c>
      <x:c r="D55" s="29" t="n">
        <x:v>3.94</x:v>
      </x:c>
      <x:c r="E55" s="42" t="n">
        <x:v>79.98</x:v>
      </x:c>
      <x:c r="F55" s="28" t="n">
        <x:v>0.58</x:v>
      </x:c>
      <x:c r="G55" s="28" t="n">
        <x:v>0.94</x:v>
      </x:c>
      <x:c r="H55" s="27" t="n">
        <x:v>42</x:v>
      </x:c>
      <x:c r="I55" s="28" t="n">
        <x:v>0.72</x:v>
      </x:c>
      <x:c r="J55" s="28" t="n">
        <x:v>0.2</x:v>
      </x:c>
      <x:c r="K55" s="27" t="n">
        <x:v>1</x:v>
      </x:c>
      <x:c r="L55" s="27" t="n">
        <x:v>1</x:v>
      </x:c>
      <x:c r="M55" s="27" t="n">
        <x:v>2</x:v>
      </x:c>
    </x:row>
    <x:row r="56">
      <x:c r="A56" s="24" t="str">
        <x:v>Tru Fragrance Beauty</x:v>
      </x:c>
      <x:c r="B56" s="27" t="n">
        <x:v>50</x:v>
      </x:c>
      <x:c r="C56" s="27" t="n">
        <x:v>7</x:v>
      </x:c>
      <x:c r="D56" s="29" t="n">
        <x:v>4.16</x:v>
      </x:c>
      <x:c r="E56" s="42" t="n">
        <x:v>89.49</x:v>
      </x:c>
      <x:c r="F56" s="28" t="n">
        <x:v>0.62</x:v>
      </x:c>
      <x:c r="G56" s="28" t="n">
        <x:v>1</x:v>
      </x:c>
      <x:c r="H56" s="27" t="n">
        <x:v>62</x:v>
      </x:c>
      <x:c r="I56" s="28" t="n">
        <x:v>0.76</x:v>
      </x:c>
      <x:c r="J56" s="28" t="n">
        <x:v>0.16</x:v>
      </x:c>
      <x:c r="K56" s="27" t="n">
        <x:v>1</x:v>
      </x:c>
      <x:c r="L56" s="27" t="n">
        <x:v>0</x:v>
      </x:c>
      <x:c r="M56" s="27" t="n">
        <x:v>0</x:v>
      </x:c>
    </x:row>
    <x:row r="57">
      <x:c r="A57" s="24" t="str">
        <x:v>K. Hall Designs</x:v>
      </x:c>
      <x:c r="B57" s="27" t="n">
        <x:v>49</x:v>
      </x:c>
      <x:c r="C57" s="27" t="n">
        <x:v>2</x:v>
      </x:c>
      <x:c r="D57" s="29" t="n">
        <x:v>4.0408163265</x:v>
      </x:c>
      <x:c r="E57" s="42" t="n">
        <x:v>36</x:v>
      </x:c>
      <x:c r="F57" s="28" t="n">
        <x:v>0.3673469388</x:v>
      </x:c>
      <x:c r="G57" s="28" t="n">
        <x:v>0.9591836735</x:v>
      </x:c>
      <x:c r="H57" s="27" t="n">
        <x:v>74</x:v>
      </x:c>
      <x:c r="I57" s="28" t="n">
        <x:v>0.7551020408</x:v>
      </x:c>
      <x:c r="J57" s="28" t="n">
        <x:v>0.2448979592</x:v>
      </x:c>
      <x:c r="K57" s="27" t="n">
        <x:v>1</x:v>
      </x:c>
      <x:c r="L57" s="27" t="n">
        <x:v>0</x:v>
      </x:c>
      <x:c r="M57" s="27" t="n">
        <x:v>1</x:v>
      </x:c>
    </x:row>
    <x:row r="58">
      <x:c r="A58" s="24" t="str">
        <x:v>PherX</x:v>
      </x:c>
      <x:c r="B58" s="27" t="n">
        <x:v>48</x:v>
      </x:c>
      <x:c r="C58" s="27" t="n">
        <x:v>1</x:v>
      </x:c>
      <x:c r="D58" s="29" t="n">
        <x:v>3.8958333333</x:v>
      </x:c>
      <x:c r="E58" s="42"/>
      <x:c r="F58" s="28" t="n">
        <x:v>0</x:v>
      </x:c>
      <x:c r="G58" s="28" t="n">
        <x:v>0.7916666667</x:v>
      </x:c>
      <x:c r="H58" s="27" t="n">
        <x:v>49</x:v>
      </x:c>
      <x:c r="I58" s="28" t="n">
        <x:v>0.7083333333</x:v>
      </x:c>
      <x:c r="J58" s="28" t="n">
        <x:v>0.1041666667</x:v>
      </x:c>
      <x:c r="K58" s="27" t="n">
        <x:v>1</x:v>
      </x:c>
      <x:c r="L58" s="27" t="n">
        <x:v>0</x:v>
      </x:c>
      <x:c r="M58" s="27" t="n">
        <x:v>0</x:v>
      </x:c>
    </x:row>
    <x:row r="59">
      <x:c r="A59" s="24" t="str">
        <x:v>Alpi Commerce Ltd</x:v>
      </x:c>
      <x:c r="B59" s="27" t="n">
        <x:v>47</x:v>
      </x:c>
      <x:c r="C59" s="27" t="n">
        <x:v>1</x:v>
      </x:c>
      <x:c r="D59" s="29" t="n">
        <x:v>3</x:v>
      </x:c>
      <x:c r="E59" s="42"/>
      <x:c r="F59" s="28" t="n">
        <x:v>0</x:v>
      </x:c>
      <x:c r="G59" s="28" t="n">
        <x:v>0.914893617</x:v>
      </x:c>
      <x:c r="H59" s="27" t="n">
        <x:v>139</x:v>
      </x:c>
      <x:c r="I59" s="28" t="n">
        <x:v>0.3829787234</x:v>
      </x:c>
      <x:c r="J59" s="28" t="n">
        <x:v>0.4042553191</x:v>
      </x:c>
      <x:c r="K59" s="27" t="n">
        <x:v>0</x:v>
      </x:c>
      <x:c r="L59" s="27" t="n">
        <x:v>6</x:v>
      </x:c>
      <x:c r="M59" s="27" t="n">
        <x:v>1</x:v>
      </x:c>
    </x:row>
    <x:row r="60">
      <x:c r="A60" s="24" t="str">
        <x:v>Generic</x:v>
      </x:c>
      <x:c r="B60" s="27" t="n">
        <x:v>46</x:v>
      </x:c>
      <x:c r="C60" s="27" t="n">
        <x:v>28</x:v>
      </x:c>
      <x:c r="D60" s="29" t="n">
        <x:v>4.0217391304</x:v>
      </x:c>
      <x:c r="E60" s="42" t="n">
        <x:v>21.99</x:v>
      </x:c>
      <x:c r="F60" s="28" t="n">
        <x:v>0.5652173913</x:v>
      </x:c>
      <x:c r="G60" s="28" t="n">
        <x:v>0.9347826087</x:v>
      </x:c>
      <x:c r="H60" s="27" t="n">
        <x:v>19</x:v>
      </x:c>
      <x:c r="I60" s="28" t="n">
        <x:v>0.7608695652</x:v>
      </x:c>
      <x:c r="J60" s="28" t="n">
        <x:v>0.2173913043</x:v>
      </x:c>
      <x:c r="K60" s="27" t="n">
        <x:v>0</x:v>
      </x:c>
      <x:c r="L60" s="27" t="n">
        <x:v>0</x:v>
      </x:c>
      <x:c r="M60" s="27" t="n">
        <x:v>1</x:v>
      </x:c>
    </x:row>
    <x:row r="61">
      <x:c r="A61" s="24" t="str">
        <x:v>Paris Corner</x:v>
      </x:c>
      <x:c r="B61" s="27" t="n">
        <x:v>45</x:v>
      </x:c>
      <x:c r="C61" s="27" t="n">
        <x:v>6</x:v>
      </x:c>
      <x:c r="D61" s="29" t="n">
        <x:v>3.6666666667</x:v>
      </x:c>
      <x:c r="E61" s="42" t="n">
        <x:v>32</x:v>
      </x:c>
      <x:c r="F61" s="28" t="n">
        <x:v>1</x:v>
      </x:c>
      <x:c r="G61" s="28" t="n">
        <x:v>0.9777777778</x:v>
      </x:c>
      <x:c r="H61" s="27" t="n">
        <x:v>111</x:v>
      </x:c>
      <x:c r="I61" s="28" t="n">
        <x:v>0.6222222222</x:v>
      </x:c>
      <x:c r="J61" s="28" t="n">
        <x:v>0.2666666667</x:v>
      </x:c>
      <x:c r="K61" s="27" t="n">
        <x:v>0</x:v>
      </x:c>
      <x:c r="L61" s="27" t="n">
        <x:v>2</x:v>
      </x:c>
      <x:c r="M61" s="27" t="n">
        <x:v>1</x:v>
      </x:c>
    </x:row>
    <x:row r="62">
      <x:c r="A62" s="24" t="str">
        <x:v>Fragonard</x:v>
      </x:c>
      <x:c r="B62" s="27" t="n">
        <x:v>43</x:v>
      </x:c>
      <x:c r="C62" s="27" t="n">
        <x:v>10</x:v>
      </x:c>
      <x:c r="D62" s="29" t="n">
        <x:v>4.6511627907</x:v>
      </x:c>
      <x:c r="E62" s="42" t="n">
        <x:v>79</x:v>
      </x:c>
      <x:c r="F62" s="28" t="n">
        <x:v>0.5813953488</x:v>
      </x:c>
      <x:c r="G62" s="28" t="n">
        <x:v>0.9069767442</x:v>
      </x:c>
      <x:c r="H62" s="27" t="n">
        <x:v>26</x:v>
      </x:c>
      <x:c r="I62" s="28" t="n">
        <x:v>0.9069767442</x:v>
      </x:c>
      <x:c r="J62" s="28" t="n">
        <x:v>0.0697674419</x:v>
      </x:c>
      <x:c r="K62" s="27" t="n">
        <x:v>1</x:v>
      </x:c>
      <x:c r="L62" s="27" t="n">
        <x:v>1</x:v>
      </x:c>
      <x:c r="M62" s="27" t="n">
        <x:v>2</x:v>
      </x:c>
    </x:row>
    <x:row r="63">
      <x:c r="A63" s="24" t="str">
        <x:v>Baby Zermat</x:v>
      </x:c>
      <x:c r="B63" s="27" t="n">
        <x:v>41</x:v>
      </x:c>
      <x:c r="C63" s="27" t="n">
        <x:v>1</x:v>
      </x:c>
      <x:c r="D63" s="29" t="n">
        <x:v>4.9268292683</x:v>
      </x:c>
      <x:c r="E63" s="42" t="n">
        <x:v>22.9</x:v>
      </x:c>
      <x:c r="F63" s="28" t="n">
        <x:v>1</x:v>
      </x:c>
      <x:c r="G63" s="28" t="n">
        <x:v>1</x:v>
      </x:c>
      <x:c r="H63" s="27" t="n">
        <x:v>19</x:v>
      </x:c>
      <x:c r="I63" s="28" t="n">
        <x:v>0.9756097561</x:v>
      </x:c>
      <x:c r="J63" s="28" t="n">
        <x:v>0.0243902439</x:v>
      </x:c>
      <x:c r="K63" s="27" t="n">
        <x:v>0</x:v>
      </x:c>
      <x:c r="L63" s="27" t="n">
        <x:v>1</x:v>
      </x:c>
      <x:c r="M63" s="27" t="n">
        <x:v>0</x:v>
      </x:c>
    </x:row>
    <x:row r="64">
      <x:c r="A64" s="24" t="str">
        <x:v>Ruckae</x:v>
      </x:c>
      <x:c r="B64" s="27" t="n">
        <x:v>41</x:v>
      </x:c>
      <x:c r="C64" s="27" t="n">
        <x:v>2</x:v>
      </x:c>
      <x:c r="D64" s="29" t="n">
        <x:v>4.512195122</x:v>
      </x:c>
      <x:c r="E64" s="42"/>
      <x:c r="F64" s="28" t="n">
        <x:v>0</x:v>
      </x:c>
      <x:c r="G64" s="28" t="n">
        <x:v>0.9512195122</x:v>
      </x:c>
      <x:c r="H64" s="27" t="n">
        <x:v>6</x:v>
      </x:c>
      <x:c r="I64" s="28" t="n">
        <x:v>0.8536585366</x:v>
      </x:c>
      <x:c r="J64" s="28" t="n">
        <x:v>0.0731707317</x:v>
      </x:c>
      <x:c r="K64" s="27" t="n">
        <x:v>0</x:v>
      </x:c>
      <x:c r="L64" s="27" t="n">
        <x:v>0</x:v>
      </x:c>
      <x:c r="M64" s="27" t="n">
        <x:v>0</x:v>
      </x:c>
    </x:row>
    <x:row r="65">
      <x:c r="A65" s="24" t="str">
        <x:v>Woaiwo-q</x:v>
      </x:c>
      <x:c r="B65" s="27" t="n">
        <x:v>41</x:v>
      </x:c>
      <x:c r="C65" s="27" t="n">
        <x:v>2</x:v>
      </x:c>
      <x:c r="D65" s="29" t="n">
        <x:v>4.1463414634</x:v>
      </x:c>
      <x:c r="E65" s="42"/>
      <x:c r="F65" s="28" t="n">
        <x:v>0</x:v>
      </x:c>
      <x:c r="G65" s="28" t="n">
        <x:v>0.9756097561</x:v>
      </x:c>
      <x:c r="H65" s="27" t="n">
        <x:v>14</x:v>
      </x:c>
      <x:c r="I65" s="28" t="n">
        <x:v>0.7804878049</x:v>
      </x:c>
      <x:c r="J65" s="28" t="n">
        <x:v>0.1463414634</x:v>
      </x:c>
      <x:c r="K65" s="27" t="n">
        <x:v>0</x:v>
      </x:c>
      <x:c r="L65" s="27" t="n">
        <x:v>0</x:v>
      </x:c>
      <x:c r="M65" s="27" t="n">
        <x:v>0</x:v>
      </x:c>
    </x:row>
    <x:row r="66">
      <x:c r="A66" s="24" t="str">
        <x:v>INTENSE ELITE</x:v>
      </x:c>
      <x:c r="B66" s="27" t="n">
        <x:v>40</x:v>
      </x:c>
      <x:c r="C66" s="27" t="n">
        <x:v>2</x:v>
      </x:c>
      <x:c r="D66" s="29" t="n">
        <x:v>4.15</x:v>
      </x:c>
      <x:c r="E66" s="42" t="n">
        <x:v>49.9</x:v>
      </x:c>
      <x:c r="F66" s="28" t="n">
        <x:v>1</x:v>
      </x:c>
      <x:c r="G66" s="28" t="n">
        <x:v>0.125</x:v>
      </x:c>
      <x:c r="H66" s="27" t="n">
        <x:v>19</x:v>
      </x:c>
      <x:c r="I66" s="28" t="n">
        <x:v>0.725</x:v>
      </x:c>
      <x:c r="J66" s="28" t="n">
        <x:v>0.05</x:v>
      </x:c>
      <x:c r="K66" s="27" t="n">
        <x:v>0</x:v>
      </x:c>
      <x:c r="L66" s="27" t="n">
        <x:v>1</x:v>
      </x:c>
      <x:c r="M66" s="27" t="n">
        <x:v>0</x:v>
      </x:c>
    </x:row>
    <x:row r="67">
      <x:c r="A67" s="24" t="str">
        <x:v>Mirage Brands</x:v>
      </x:c>
      <x:c r="B67" s="27" t="n">
        <x:v>40</x:v>
      </x:c>
      <x:c r="C67" s="27" t="n">
        <x:v>13</x:v>
      </x:c>
      <x:c r="D67" s="29" t="n">
        <x:v>3.975</x:v>
      </x:c>
      <x:c r="E67" s="42" t="n">
        <x:v>15.23</x:v>
      </x:c>
      <x:c r="F67" s="28" t="n">
        <x:v>0.825</x:v>
      </x:c>
      <x:c r="G67" s="28" t="n">
        <x:v>0.975</x:v>
      </x:c>
      <x:c r="H67" s="27" t="n">
        <x:v>13</x:v>
      </x:c>
      <x:c r="I67" s="28" t="n">
        <x:v>0.65</x:v>
      </x:c>
      <x:c r="J67" s="28" t="n">
        <x:v>0.175</x:v>
      </x:c>
      <x:c r="K67" s="27" t="n">
        <x:v>1</x:v>
      </x:c>
      <x:c r="L67" s="27" t="n">
        <x:v>0</x:v>
      </x:c>
      <x:c r="M67" s="27" t="n">
        <x:v>1</x:v>
      </x:c>
    </x:row>
    <x:row r="68">
      <x:c r="A68" s="24" t="str">
        <x:v>SpellboundRX</x:v>
      </x:c>
      <x:c r="B68" s="27" t="n">
        <x:v>40</x:v>
      </x:c>
      <x:c r="C68" s="27" t="n">
        <x:v>12</x:v>
      </x:c>
      <x:c r="D68" s="29" t="n">
        <x:v>4.4</x:v>
      </x:c>
      <x:c r="E68" s="42"/>
      <x:c r="F68" s="28" t="n">
        <x:v>0</x:v>
      </x:c>
      <x:c r="G68" s="28" t="n">
        <x:v>1</x:v>
      </x:c>
      <x:c r="H68" s="27" t="n">
        <x:v>44</x:v>
      </x:c>
      <x:c r="I68" s="28" t="n">
        <x:v>0.85</x:v>
      </x:c>
      <x:c r="J68" s="28" t="n">
        <x:v>0.15</x:v>
      </x:c>
      <x:c r="K68" s="27" t="n">
        <x:v>0</x:v>
      </x:c>
      <x:c r="L68" s="27" t="n">
        <x:v>0</x:v>
      </x:c>
      <x:c r="M68" s="27" t="n">
        <x:v>0</x:v>
      </x:c>
    </x:row>
    <x:row r="69">
      <x:c r="A69" s="24" t="str">
        <x:v>American Eagle</x:v>
      </x:c>
      <x:c r="B69" s="27" t="n">
        <x:v>39</x:v>
      </x:c>
      <x:c r="C69" s="27" t="n">
        <x:v>7</x:v>
      </x:c>
      <x:c r="D69" s="29" t="n">
        <x:v>4.0512820513</x:v>
      </x:c>
      <x:c r="E69" s="42" t="n">
        <x:v>73</x:v>
      </x:c>
      <x:c r="F69" s="28" t="n">
        <x:v>0.7179487179</x:v>
      </x:c>
      <x:c r="G69" s="28" t="n">
        <x:v>0.8717948718</x:v>
      </x:c>
      <x:c r="H69" s="27" t="n">
        <x:v>16</x:v>
      </x:c>
      <x:c r="I69" s="28" t="n">
        <x:v>0.7692307692</x:v>
      </x:c>
      <x:c r="J69" s="28" t="n">
        <x:v>0.2307692308</x:v>
      </x:c>
      <x:c r="K69" s="27" t="n">
        <x:v>1</x:v>
      </x:c>
      <x:c r="L69" s="27" t="n">
        <x:v>2</x:v>
      </x:c>
      <x:c r="M69" s="27" t="n">
        <x:v>1</x:v>
      </x:c>
    </x:row>
    <x:row r="70">
      <x:c r="A70" s="24" t="str">
        <x:v>Old Spice</x:v>
      </x:c>
      <x:c r="B70" s="27" t="n">
        <x:v>39</x:v>
      </x:c>
      <x:c r="C70" s="27" t="n">
        <x:v>6</x:v>
      </x:c>
      <x:c r="D70" s="29" t="n">
        <x:v>3.9743589744</x:v>
      </x:c>
      <x:c r="E70" s="42" t="n">
        <x:v>30</x:v>
      </x:c>
      <x:c r="F70" s="28" t="n">
        <x:v>0.1794871795</x:v>
      </x:c>
      <x:c r="G70" s="28" t="n">
        <x:v>1</x:v>
      </x:c>
      <x:c r="H70" s="27" t="n">
        <x:v>5</x:v>
      </x:c>
      <x:c r="I70" s="28" t="n">
        <x:v>0.7435897436</x:v>
      </x:c>
      <x:c r="J70" s="28" t="n">
        <x:v>0.2307692308</x:v>
      </x:c>
      <x:c r="K70" s="27" t="n">
        <x:v>1</x:v>
      </x:c>
      <x:c r="L70" s="27" t="n">
        <x:v>4</x:v>
      </x:c>
      <x:c r="M70" s="27" t="n">
        <x:v>0</x:v>
      </x:c>
    </x:row>
    <x:row r="71">
      <x:c r="A71" s="24" t="str">
        <x:v>Essential Bliss</x:v>
      </x:c>
      <x:c r="B71" s="27" t="n">
        <x:v>38</x:v>
      </x:c>
      <x:c r="C71" s="27" t="n">
        <x:v>4</x:v>
      </x:c>
      <x:c r="D71" s="29" t="n">
        <x:v>4.6052631579</x:v>
      </x:c>
      <x:c r="E71" s="42"/>
      <x:c r="F71" s="28" t="n">
        <x:v>0</x:v>
      </x:c>
      <x:c r="G71" s="28" t="n">
        <x:v>0.9736842105</x:v>
      </x:c>
      <x:c r="H71" s="27" t="n">
        <x:v>19</x:v>
      </x:c>
      <x:c r="I71" s="28" t="n">
        <x:v>0.9210526316</x:v>
      </x:c>
      <x:c r="J71" s="28" t="n">
        <x:v>0.0263157895</x:v>
      </x:c>
      <x:c r="K71" s="27" t="n">
        <x:v>1</x:v>
      </x:c>
      <x:c r="L71" s="27" t="n">
        <x:v>0</x:v>
      </x:c>
      <x:c r="M71" s="27" t="n">
        <x:v>0</x:v>
      </x:c>
    </x:row>
    <x:row r="72">
      <x:c r="A72" s="24" t="str">
        <x:v>GAP</x:v>
      </x:c>
      <x:c r="B72" s="27" t="n">
        <x:v>38</x:v>
      </x:c>
      <x:c r="C72" s="27" t="n">
        <x:v>6</x:v>
      </x:c>
      <x:c r="D72" s="29" t="n">
        <x:v>4.5</x:v>
      </x:c>
      <x:c r="E72" s="42" t="n">
        <x:v>51</x:v>
      </x:c>
      <x:c r="F72" s="28" t="n">
        <x:v>0.4210526316</x:v>
      </x:c>
      <x:c r="G72" s="28" t="n">
        <x:v>0.9473684211</x:v>
      </x:c>
      <x:c r="H72" s="27" t="n">
        <x:v>12</x:v>
      </x:c>
      <x:c r="I72" s="28" t="n">
        <x:v>0.8684210526</x:v>
      </x:c>
      <x:c r="J72" s="28" t="n">
        <x:v>0.1315789474</x:v>
      </x:c>
      <x:c r="K72" s="27" t="n">
        <x:v>0</x:v>
      </x:c>
      <x:c r="L72" s="27" t="n">
        <x:v>3</x:v>
      </x:c>
      <x:c r="M72" s="27" t="n">
        <x:v>0</x:v>
      </x:c>
    </x:row>
    <x:row r="73">
      <x:c r="A73" s="24" t="str">
        <x:v>O'Douds</x:v>
      </x:c>
      <x:c r="B73" s="27" t="n">
        <x:v>38</x:v>
      </x:c>
      <x:c r="C73" s="27" t="n">
        <x:v>2</x:v>
      </x:c>
      <x:c r="D73" s="29" t="n">
        <x:v>3.4736842105</x:v>
      </x:c>
      <x:c r="E73" s="42"/>
      <x:c r="F73" s="28" t="n">
        <x:v>0</x:v>
      </x:c>
      <x:c r="G73" s="28" t="n">
        <x:v>0.9736842105</x:v>
      </x:c>
      <x:c r="H73" s="27" t="n">
        <x:v>53</x:v>
      </x:c>
      <x:c r="I73" s="28" t="n">
        <x:v>0.6315789474</x:v>
      </x:c>
      <x:c r="J73" s="28" t="n">
        <x:v>0.2894736842</x:v>
      </x:c>
      <x:c r="K73" s="27" t="n">
        <x:v>0</x:v>
      </x:c>
      <x:c r="L73" s="27" t="n">
        <x:v>1</x:v>
      </x:c>
      <x:c r="M73" s="27" t="n">
        <x:v>0</x:v>
      </x:c>
    </x:row>
    <x:row r="74">
      <x:c r="A74" s="24" t="str">
        <x:v>Thierry Mugler</x:v>
      </x:c>
      <x:c r="B74" s="27" t="n">
        <x:v>38</x:v>
      </x:c>
      <x:c r="C74" s="27" t="n">
        <x:v>6</x:v>
      </x:c>
      <x:c r="D74" s="29" t="n">
        <x:v>4.5789473684</x:v>
      </x:c>
      <x:c r="E74" s="42" t="n">
        <x:v>76.475</x:v>
      </x:c>
      <x:c r="F74" s="28" t="n">
        <x:v>0.1052631579</x:v>
      </x:c>
      <x:c r="G74" s="28" t="n">
        <x:v>0.9210526316</x:v>
      </x:c>
      <x:c r="H74" s="27" t="n">
        <x:v>31</x:v>
      </x:c>
      <x:c r="I74" s="28" t="n">
        <x:v>0.8421052632</x:v>
      </x:c>
      <x:c r="J74" s="28" t="n">
        <x:v>0.0263157895</x:v>
      </x:c>
      <x:c r="K74" s="27" t="n">
        <x:v>0</x:v>
      </x:c>
      <x:c r="L74" s="27" t="n">
        <x:v>0</x:v>
      </x:c>
      <x:c r="M74" s="27" t="n">
        <x:v>0</x:v>
      </x:c>
    </x:row>
    <x:row r="75">
      <x:c r="A75" s="24" t="str">
        <x:v>VIROCHEMISTRY</x:v>
      </x:c>
      <x:c r="B75" s="27" t="n">
        <x:v>38</x:v>
      </x:c>
      <x:c r="C75" s="27" t="n">
        <x:v>7</x:v>
      </x:c>
      <x:c r="D75" s="29" t="n">
        <x:v>3.6842105263</x:v>
      </x:c>
      <x:c r="E75" s="42" t="n">
        <x:v>29.8</x:v>
      </x:c>
      <x:c r="F75" s="28" t="n">
        <x:v>1</x:v>
      </x:c>
      <x:c r="G75" s="28" t="n">
        <x:v>0.9473684211</x:v>
      </x:c>
      <x:c r="H75" s="27" t="n">
        <x:v>44</x:v>
      </x:c>
      <x:c r="I75" s="28" t="n">
        <x:v>0.6315789474</x:v>
      </x:c>
      <x:c r="J75" s="28" t="n">
        <x:v>0.2631578947</x:v>
      </x:c>
      <x:c r="K75" s="27" t="n">
        <x:v>2</x:v>
      </x:c>
      <x:c r="L75" s="27" t="n">
        <x:v>1</x:v>
      </x:c>
      <x:c r="M75" s="27" t="n">
        <x:v>0</x:v>
      </x:c>
    </x:row>
    <x:row r="76">
      <x:c r="A76" s="24" t="str">
        <x:v>Alex's Bin</x:v>
      </x:c>
      <x:c r="B76" s="27" t="n">
        <x:v>37</x:v>
      </x:c>
      <x:c r="C76" s="27" t="n">
        <x:v>1</x:v>
      </x:c>
      <x:c r="D76" s="29" t="n">
        <x:v>3.972972973</x:v>
      </x:c>
      <x:c r="E76" s="42" t="n">
        <x:v>16.95</x:v>
      </x:c>
      <x:c r="F76" s="28" t="n">
        <x:v>1</x:v>
      </x:c>
      <x:c r="G76" s="28" t="n">
        <x:v>1</x:v>
      </x:c>
      <x:c r="H76" s="27" t="n">
        <x:v>130</x:v>
      </x:c>
      <x:c r="I76" s="28" t="n">
        <x:v>0.7027027027</x:v>
      </x:c>
      <x:c r="J76" s="28" t="n">
        <x:v>0.1621621622</x:v>
      </x:c>
      <x:c r="K76" s="27" t="n">
        <x:v>3</x:v>
      </x:c>
      <x:c r="L76" s="27" t="n">
        <x:v>1</x:v>
      </x:c>
      <x:c r="M76" s="27" t="n">
        <x:v>0</x:v>
      </x:c>
    </x:row>
    <x:row r="77">
      <x:c r="A77" s="24" t="str">
        <x:v>CHANEL</x:v>
      </x:c>
      <x:c r="B77" s="27" t="n">
        <x:v>37</x:v>
      </x:c>
      <x:c r="C77" s="27" t="n">
        <x:v>9</x:v>
      </x:c>
      <x:c r="D77" s="29" t="n">
        <x:v>4.4864864865</x:v>
      </x:c>
      <x:c r="E77" s="42" t="n">
        <x:v>199.95</x:v>
      </x:c>
      <x:c r="F77" s="28" t="n">
        <x:v>0.5675675676</x:v>
      </x:c>
      <x:c r="G77" s="28" t="n">
        <x:v>0.972972973</x:v>
      </x:c>
      <x:c r="H77" s="27" t="n">
        <x:v>49</x:v>
      </x:c>
      <x:c r="I77" s="28" t="n">
        <x:v>0.8648648649</x:v>
      </x:c>
      <x:c r="J77" s="28" t="n">
        <x:v>0.1081081081</x:v>
      </x:c>
      <x:c r="K77" s="27" t="n">
        <x:v>0</x:v>
      </x:c>
      <x:c r="L77" s="27" t="n">
        <x:v>2</x:v>
      </x:c>
      <x:c r="M77" s="27" t="n">
        <x:v>2</x:v>
      </x:c>
    </x:row>
    <x:row r="78">
      <x:c r="A78" s="24" t="str">
        <x:v>Dana</x:v>
      </x:c>
      <x:c r="B78" s="27" t="n">
        <x:v>36</x:v>
      </x:c>
      <x:c r="C78" s="27" t="n">
        <x:v>13</x:v>
      </x:c>
      <x:c r="D78" s="29" t="n">
        <x:v>4.3611111111</x:v>
      </x:c>
      <x:c r="E78" s="42" t="n">
        <x:v>14.99</x:v>
      </x:c>
      <x:c r="F78" s="28" t="n">
        <x:v>0.1944444444</x:v>
      </x:c>
      <x:c r="G78" s="28" t="n">
        <x:v>0.9444444444</x:v>
      </x:c>
      <x:c r="H78" s="27" t="n">
        <x:v>10</x:v>
      </x:c>
      <x:c r="I78" s="28" t="n">
        <x:v>0.8333333333</x:v>
      </x:c>
      <x:c r="J78" s="28" t="n">
        <x:v>0.1388888889</x:v>
      </x:c>
      <x:c r="K78" s="27" t="n">
        <x:v>0</x:v>
      </x:c>
      <x:c r="L78" s="27" t="n">
        <x:v>0</x:v>
      </x:c>
      <x:c r="M78" s="27" t="n">
        <x:v>0</x:v>
      </x:c>
    </x:row>
    <x:row r="79">
      <x:c r="A79" s="24" t="str">
        <x:v>Ard al Zaafaran</x:v>
      </x:c>
      <x:c r="B79" s="27" t="n">
        <x:v>34</x:v>
      </x:c>
      <x:c r="C79" s="27" t="n">
        <x:v>10</x:v>
      </x:c>
      <x:c r="D79" s="29" t="n">
        <x:v>4.3823529412</x:v>
      </x:c>
      <x:c r="E79" s="42" t="n">
        <x:v>25.145</x:v>
      </x:c>
      <x:c r="F79" s="28" t="n">
        <x:v>1</x:v>
      </x:c>
      <x:c r="G79" s="28" t="n">
        <x:v>1</x:v>
      </x:c>
      <x:c r="H79" s="27" t="n">
        <x:v>21</x:v>
      </x:c>
      <x:c r="I79" s="28" t="n">
        <x:v>0.8235294118</x:v>
      </x:c>
      <x:c r="J79" s="28" t="n">
        <x:v>0.1470588235</x:v>
      </x:c>
      <x:c r="K79" s="27" t="n">
        <x:v>1</x:v>
      </x:c>
      <x:c r="L79" s="27" t="n">
        <x:v>1</x:v>
      </x:c>
      <x:c r="M79" s="27" t="n">
        <x:v>0</x:v>
      </x:c>
    </x:row>
    <x:row r="80">
      <x:c r="A80" s="24" t="str">
        <x:v>Caswell-Massey</x:v>
      </x:c>
      <x:c r="B80" s="27" t="n">
        <x:v>34</x:v>
      </x:c>
      <x:c r="C80" s="27" t="n">
        <x:v>6</x:v>
      </x:c>
      <x:c r="D80" s="29" t="n">
        <x:v>4.2941176471</x:v>
      </x:c>
      <x:c r="E80" s="42" t="n">
        <x:v>225</x:v>
      </x:c>
      <x:c r="F80" s="28" t="n">
        <x:v>0.3529411765</x:v>
      </x:c>
      <x:c r="G80" s="28" t="n">
        <x:v>0.8823529412</x:v>
      </x:c>
      <x:c r="H80" s="27" t="n">
        <x:v>53</x:v>
      </x:c>
      <x:c r="I80" s="28" t="n">
        <x:v>0.7647058824</x:v>
      </x:c>
      <x:c r="J80" s="28" t="n">
        <x:v>0.1176470588</x:v>
      </x:c>
      <x:c r="K80" s="27" t="n">
        <x:v>0</x:v>
      </x:c>
      <x:c r="L80" s="27" t="n">
        <x:v>1</x:v>
      </x:c>
      <x:c r="M80" s="27" t="n">
        <x:v>0</x:v>
      </x:c>
    </x:row>
    <x:row r="81">
      <x:c r="A81" s="24" t="str">
        <x:v>Etude House</x:v>
      </x:c>
      <x:c r="B81" s="27" t="n">
        <x:v>34</x:v>
      </x:c>
      <x:c r="C81" s="27" t="n">
        <x:v>2</x:v>
      </x:c>
      <x:c r="D81" s="29" t="n">
        <x:v>4.1470588235</x:v>
      </x:c>
      <x:c r="E81" s="42"/>
      <x:c r="F81" s="28" t="n">
        <x:v>0</x:v>
      </x:c>
      <x:c r="G81" s="28" t="n">
        <x:v>0.9411764706</x:v>
      </x:c>
      <x:c r="H81" s="27" t="n">
        <x:v>11</x:v>
      </x:c>
      <x:c r="I81" s="28" t="n">
        <x:v>0.7647058824</x:v>
      </x:c>
      <x:c r="J81" s="28" t="n">
        <x:v>0.1176470588</x:v>
      </x:c>
      <x:c r="K81" s="27" t="n">
        <x:v>0</x:v>
      </x:c>
      <x:c r="L81" s="27" t="n">
        <x:v>0</x:v>
      </x:c>
      <x:c r="M81" s="27" t="n">
        <x:v>0</x:v>
      </x:c>
    </x:row>
    <x:row r="82">
      <x:c r="A82" s="24" t="str">
        <x:v>Hareem Al Sultan</x:v>
      </x:c>
      <x:c r="B82" s="27" t="n">
        <x:v>34</x:v>
      </x:c>
      <x:c r="C82" s="27" t="n">
        <x:v>2</x:v>
      </x:c>
      <x:c r="D82" s="29" t="n">
        <x:v>4.6176470588</x:v>
      </x:c>
      <x:c r="E82" s="42" t="n">
        <x:v>31.99</x:v>
      </x:c>
      <x:c r="F82" s="28" t="n">
        <x:v>0.9117647059</x:v>
      </x:c>
      <x:c r="G82" s="28" t="n">
        <x:v>0.9705882353</x:v>
      </x:c>
      <x:c r="H82" s="27" t="n">
        <x:v>47</x:v>
      </x:c>
      <x:c r="I82" s="28" t="n">
        <x:v>0.8823529412</x:v>
      </x:c>
      <x:c r="J82" s="28" t="n">
        <x:v>0.0294117647</x:v>
      </x:c>
      <x:c r="K82" s="27" t="n">
        <x:v>2</x:v>
      </x:c>
      <x:c r="L82" s="27" t="n">
        <x:v>0</x:v>
      </x:c>
      <x:c r="M82" s="27" t="n">
        <x:v>0</x:v>
      </x:c>
    </x:row>
    <x:row r="83">
      <x:c r="A83" s="24" t="str">
        <x:v>Boiess</x:v>
      </x:c>
      <x:c r="B83" s="27" t="n">
        <x:v>33</x:v>
      </x:c>
      <x:c r="C83" s="27" t="n">
        <x:v>1</x:v>
      </x:c>
      <x:c r="D83" s="29" t="n">
        <x:v>4.0606060606</x:v>
      </x:c>
      <x:c r="E83" s="42" t="n">
        <x:v>22.9</x:v>
      </x:c>
      <x:c r="F83" s="28" t="n">
        <x:v>1</x:v>
      </x:c>
      <x:c r="G83" s="28" t="n">
        <x:v>0.4545454545</x:v>
      </x:c>
      <x:c r="H83" s="27" t="n">
        <x:v>36</x:v>
      </x:c>
      <x:c r="I83" s="28" t="n">
        <x:v>0.696969697</x:v>
      </x:c>
      <x:c r="J83" s="28" t="n">
        <x:v>0.1212121212</x:v>
      </x:c>
      <x:c r="K83" s="27" t="n">
        <x:v>3</x:v>
      </x:c>
      <x:c r="L83" s="27" t="n">
        <x:v>2</x:v>
      </x:c>
      <x:c r="M83" s="27" t="n">
        <x:v>0</x:v>
      </x:c>
    </x:row>
    <x:row r="84">
      <x:c r="A84" s="24" t="str">
        <x:v>Natura</x:v>
      </x:c>
      <x:c r="B84" s="27" t="n">
        <x:v>33</x:v>
      </x:c>
      <x:c r="C84" s="27" t="n">
        <x:v>12</x:v>
      </x:c>
      <x:c r="D84" s="29" t="n">
        <x:v>4.5454545455</x:v>
      </x:c>
      <x:c r="E84" s="42" t="n">
        <x:v>37.485</x:v>
      </x:c>
      <x:c r="F84" s="28" t="n">
        <x:v>0.2424242424</x:v>
      </x:c>
      <x:c r="G84" s="28" t="n">
        <x:v>1</x:v>
      </x:c>
      <x:c r="H84" s="27" t="n">
        <x:v>4</x:v>
      </x:c>
      <x:c r="I84" s="28" t="n">
        <x:v>0.9090909091</x:v>
      </x:c>
      <x:c r="J84" s="28" t="n">
        <x:v>0.0909090909</x:v>
      </x:c>
      <x:c r="K84" s="27" t="n">
        <x:v>1</x:v>
      </x:c>
      <x:c r="L84" s="27" t="n">
        <x:v>1</x:v>
      </x:c>
      <x:c r="M84" s="27" t="n">
        <x:v>0</x:v>
      </x:c>
    </x:row>
    <x:row r="85">
      <x:c r="A85" s="24" t="str">
        <x:v>Grand Parfums</x:v>
      </x:c>
      <x:c r="B85" s="27" t="n">
        <x:v>32</x:v>
      </x:c>
      <x:c r="C85" s="27" t="n">
        <x:v>7</x:v>
      </x:c>
      <x:c r="D85" s="29" t="n">
        <x:v>4.3125</x:v>
      </x:c>
      <x:c r="E85" s="42" t="n">
        <x:v>15.99</x:v>
      </x:c>
      <x:c r="F85" s="28" t="n">
        <x:v>1</x:v>
      </x:c>
      <x:c r="G85" s="28" t="n">
        <x:v>0.9375</x:v>
      </x:c>
      <x:c r="H85" s="27" t="n">
        <x:v>17</x:v>
      </x:c>
      <x:c r="I85" s="28" t="n">
        <x:v>0.8125</x:v>
      </x:c>
      <x:c r="J85" s="28" t="n">
        <x:v>0.15625</x:v>
      </x:c>
      <x:c r="K85" s="27" t="n">
        <x:v>1</x:v>
      </x:c>
      <x:c r="L85" s="27" t="n">
        <x:v>0</x:v>
      </x:c>
      <x:c r="M85" s="27" t="n">
        <x:v>0</x:v>
      </x:c>
    </x:row>
    <x:row r="86">
      <x:c r="A86" s="24" t="str">
        <x:v>Solinotes Paris</x:v>
      </x:c>
      <x:c r="B86" s="27" t="n">
        <x:v>32</x:v>
      </x:c>
      <x:c r="C86" s="27" t="n">
        <x:v>9</x:v>
      </x:c>
      <x:c r="D86" s="29" t="n">
        <x:v>3.71875</x:v>
      </x:c>
      <x:c r="E86" s="42" t="n">
        <x:v>16.425</x:v>
      </x:c>
      <x:c r="F86" s="28" t="n">
        <x:v>0.5</x:v>
      </x:c>
      <x:c r="G86" s="28" t="n">
        <x:v>0.875</x:v>
      </x:c>
      <x:c r="H86" s="27" t="n">
        <x:v>15</x:v>
      </x:c>
      <x:c r="I86" s="28" t="n">
        <x:v>0.59375</x:v>
      </x:c>
      <x:c r="J86" s="28" t="n">
        <x:v>0.25</x:v>
      </x:c>
      <x:c r="K86" s="27" t="n">
        <x:v>1</x:v>
      </x:c>
      <x:c r="L86" s="27" t="n">
        <x:v>1</x:v>
      </x:c>
      <x:c r="M86" s="27" t="n">
        <x:v>0</x:v>
      </x:c>
    </x:row>
    <x:row r="87">
      <x:c r="A87" s="24" t="str">
        <x:v>Specific Beauty</x:v>
      </x:c>
      <x:c r="B87" s="27" t="n">
        <x:v>32</x:v>
      </x:c>
      <x:c r="C87" s="27" t="n">
        <x:v>1</x:v>
      </x:c>
      <x:c r="D87" s="29" t="n">
        <x:v>4.28125</x:v>
      </x:c>
      <x:c r="E87" s="42"/>
      <x:c r="F87" s="28" t="n">
        <x:v>0</x:v>
      </x:c>
      <x:c r="G87" s="28" t="n">
        <x:v>0.90625</x:v>
      </x:c>
      <x:c r="H87" s="27" t="n">
        <x:v>36</x:v>
      </x:c>
      <x:c r="I87" s="28" t="n">
        <x:v>0.78125</x:v>
      </x:c>
      <x:c r="J87" s="28" t="n">
        <x:v>0.09375</x:v>
      </x:c>
      <x:c r="K87" s="27" t="n">
        <x:v>0</x:v>
      </x:c>
      <x:c r="L87" s="27" t="n">
        <x:v>1</x:v>
      </x:c>
      <x:c r="M87" s="27" t="n">
        <x:v>0</x:v>
      </x:c>
    </x:row>
    <x:row r="88">
      <x:c r="A88" s="24" t="str">
        <x:v>BOMEX</x:v>
      </x:c>
      <x:c r="B88" s="27" t="n">
        <x:v>30</x:v>
      </x:c>
      <x:c r="C88" s="27" t="n">
        <x:v>4</x:v>
      </x:c>
      <x:c r="D88" s="29" t="n">
        <x:v>4.3333333333</x:v>
      </x:c>
      <x:c r="E88" s="42"/>
      <x:c r="F88" s="28" t="n">
        <x:v>0</x:v>
      </x:c>
      <x:c r="G88" s="28" t="n">
        <x:v>1</x:v>
      </x:c>
      <x:c r="H88" s="27" t="n">
        <x:v>10</x:v>
      </x:c>
      <x:c r="I88" s="28" t="n">
        <x:v>0.8</x:v>
      </x:c>
      <x:c r="J88" s="28" t="n">
        <x:v>0.1</x:v>
      </x:c>
      <x:c r="K88" s="27" t="n">
        <x:v>0</x:v>
      </x:c>
      <x:c r="L88" s="27" t="n">
        <x:v>0</x:v>
      </x:c>
      <x:c r="M88" s="27" t="n">
        <x:v>0</x:v>
      </x:c>
    </x:row>
    <x:row r="89">
      <x:c r="A89" s="24" t="str">
        <x:v>Capri Blue</x:v>
      </x:c>
      <x:c r="B89" s="27" t="n">
        <x:v>30</x:v>
      </x:c>
      <x:c r="C89" s="27" t="n">
        <x:v>1</x:v>
      </x:c>
      <x:c r="D89" s="29" t="n">
        <x:v>3.9666666667</x:v>
      </x:c>
      <x:c r="E89" s="42" t="n">
        <x:v>22</x:v>
      </x:c>
      <x:c r="F89" s="28" t="n">
        <x:v>1</x:v>
      </x:c>
      <x:c r="G89" s="28" t="n">
        <x:v>0.9</x:v>
      </x:c>
      <x:c r="H89" s="27" t="n">
        <x:v>7</x:v>
      </x:c>
      <x:c r="I89" s="28" t="n">
        <x:v>0.7</x:v>
      </x:c>
      <x:c r="J89" s="28" t="n">
        <x:v>0.2666666667</x:v>
      </x:c>
      <x:c r="K89" s="27" t="n">
        <x:v>2</x:v>
      </x:c>
      <x:c r="L89" s="27" t="n">
        <x:v>1</x:v>
      </x:c>
      <x:c r="M89" s="27" t="n">
        <x:v>0</x:v>
      </x:c>
    </x:row>
    <x:row r="90">
      <x:c r="A90" s="24" t="str">
        <x:v>Excelcare Products LLC</x:v>
      </x:c>
      <x:c r="B90" s="27" t="n">
        <x:v>30</x:v>
      </x:c>
      <x:c r="C90" s="27" t="n">
        <x:v>1</x:v>
      </x:c>
      <x:c r="D90" s="29" t="n">
        <x:v>4</x:v>
      </x:c>
      <x:c r="E90" s="42"/>
      <x:c r="F90" s="28" t="n">
        <x:v>0</x:v>
      </x:c>
      <x:c r="G90" s="28" t="n">
        <x:v>0.8666666667</x:v>
      </x:c>
      <x:c r="H90" s="27" t="n">
        <x:v>15</x:v>
      </x:c>
      <x:c r="I90" s="28" t="n">
        <x:v>0.7</x:v>
      </x:c>
      <x:c r="J90" s="28" t="n">
        <x:v>0.2</x:v>
      </x:c>
      <x:c r="K90" s="27" t="n">
        <x:v>0</x:v>
      </x:c>
      <x:c r="L90" s="27" t="n">
        <x:v>0</x:v>
      </x:c>
      <x:c r="M90" s="27" t="n">
        <x:v>0</x:v>
      </x:c>
    </x:row>
    <x:row r="91">
      <x:c r="A91" s="24" t="str">
        <x:v>GIORGIO ARMANI</x:v>
      </x:c>
      <x:c r="B91" s="27" t="n">
        <x:v>30</x:v>
      </x:c>
      <x:c r="C91" s="27" t="n">
        <x:v>11</x:v>
      </x:c>
      <x:c r="D91" s="29" t="n">
        <x:v>4.4333333333</x:v>
      </x:c>
      <x:c r="E91" s="42" t="n">
        <x:v>69.95</x:v>
      </x:c>
      <x:c r="F91" s="28" t="n">
        <x:v>0.3666666667</x:v>
      </x:c>
      <x:c r="G91" s="28" t="n">
        <x:v>0.8666666667</x:v>
      </x:c>
      <x:c r="H91" s="27" t="n">
        <x:v>13</x:v>
      </x:c>
      <x:c r="I91" s="28" t="n">
        <x:v>0.8666666667</x:v>
      </x:c>
      <x:c r="J91" s="28" t="n">
        <x:v>0.1333333333</x:v>
      </x:c>
      <x:c r="K91" s="27" t="n">
        <x:v>0</x:v>
      </x:c>
      <x:c r="L91" s="27" t="n">
        <x:v>1</x:v>
      </x:c>
      <x:c r="M91" s="27" t="n">
        <x:v>0</x:v>
      </x:c>
    </x:row>
    <x:row r="92">
      <x:c r="A92" s="24" t="str">
        <x:v>Juliette Has A Gun</x:v>
      </x:c>
      <x:c r="B92" s="27" t="n">
        <x:v>30</x:v>
      </x:c>
      <x:c r="C92" s="27" t="n">
        <x:v>2</x:v>
      </x:c>
      <x:c r="D92" s="29" t="n">
        <x:v>3.5</x:v>
      </x:c>
      <x:c r="E92" s="42" t="n">
        <x:v>30</x:v>
      </x:c>
      <x:c r="F92" s="28" t="n">
        <x:v>1</x:v>
      </x:c>
      <x:c r="G92" s="28" t="n">
        <x:v>0.9</x:v>
      </x:c>
      <x:c r="H92" s="27" t="n">
        <x:v>8</x:v>
      </x:c>
      <x:c r="I92" s="28" t="n">
        <x:v>0.6333333333</x:v>
      </x:c>
      <x:c r="J92" s="28" t="n">
        <x:v>0.3666666667</x:v>
      </x:c>
      <x:c r="K92" s="27" t="n">
        <x:v>0</x:v>
      </x:c>
      <x:c r="L92" s="27" t="n">
        <x:v>2</x:v>
      </x:c>
      <x:c r="M92" s="27" t="n">
        <x:v>0</x:v>
      </x:c>
    </x:row>
    <x:row r="93">
      <x:c r="A93" s="24" t="str">
        <x:v>Xio's</x:v>
      </x:c>
      <x:c r="B93" s="27" t="n">
        <x:v>30</x:v>
      </x:c>
      <x:c r="C93" s="27" t="n">
        <x:v>5</x:v>
      </x:c>
      <x:c r="D93" s="29" t="n">
        <x:v>3.7</x:v>
      </x:c>
      <x:c r="E93" s="42" t="n">
        <x:v>17.99</x:v>
      </x:c>
      <x:c r="F93" s="28" t="n">
        <x:v>0.9666666667</x:v>
      </x:c>
      <x:c r="G93" s="28" t="n">
        <x:v>0.9666666667</x:v>
      </x:c>
      <x:c r="H93" s="27" t="n">
        <x:v>35</x:v>
      </x:c>
      <x:c r="I93" s="28" t="n">
        <x:v>0.6333333333</x:v>
      </x:c>
      <x:c r="J93" s="28" t="n">
        <x:v>0.3333333333</x:v>
      </x:c>
      <x:c r="K93" s="27" t="n">
        <x:v>0</x:v>
      </x:c>
      <x:c r="L93" s="27" t="n">
        <x:v>1</x:v>
      </x:c>
      <x:c r="M93" s="27" t="n">
        <x:v>0</x:v>
      </x:c>
    </x:row>
    <x:row r="94">
      <x:c r="A94" s="24" t="str">
        <x:v>Lalproducts</x:v>
      </x:c>
      <x:c r="B94" s="27" t="n">
        <x:v>29</x:v>
      </x:c>
      <x:c r="C94" s="27" t="n">
        <x:v>1</x:v>
      </x:c>
      <x:c r="D94" s="29" t="n">
        <x:v>4.2068965517</x:v>
      </x:c>
      <x:c r="E94" s="42" t="n">
        <x:v>36.76</x:v>
      </x:c>
      <x:c r="F94" s="28" t="n">
        <x:v>1</x:v>
      </x:c>
      <x:c r="G94" s="28" t="n">
        <x:v>0.9655172414</x:v>
      </x:c>
      <x:c r="H94" s="27" t="n">
        <x:v>25</x:v>
      </x:c>
      <x:c r="I94" s="28" t="n">
        <x:v>0.7586206897</x:v>
      </x:c>
      <x:c r="J94" s="28" t="n">
        <x:v>0.1034482759</x:v>
      </x:c>
      <x:c r="K94" s="27" t="n">
        <x:v>0</x:v>
      </x:c>
      <x:c r="L94" s="27" t="n">
        <x:v>0</x:v>
      </x:c>
      <x:c r="M94" s="27" t="n">
        <x:v>1</x:v>
      </x:c>
    </x:row>
    <x:row r="95">
      <x:c r="A95" s="24" t="str">
        <x:v>Ricitos de Oro</x:v>
      </x:c>
      <x:c r="B95" s="27" t="n">
        <x:v>29</x:v>
      </x:c>
      <x:c r="C95" s="27" t="n">
        <x:v>1</x:v>
      </x:c>
      <x:c r="D95" s="29" t="n">
        <x:v>3.9655172414</x:v>
      </x:c>
      <x:c r="E95" s="42" t="n">
        <x:v>9.99</x:v>
      </x:c>
      <x:c r="F95" s="28" t="n">
        <x:v>1</x:v>
      </x:c>
      <x:c r="G95" s="28" t="n">
        <x:v>0.9310344828</x:v>
      </x:c>
      <x:c r="H95" s="27" t="n">
        <x:v>10</x:v>
      </x:c>
      <x:c r="I95" s="28" t="n">
        <x:v>0.6551724138</x:v>
      </x:c>
      <x:c r="J95" s="28" t="n">
        <x:v>0.2413793103</x:v>
      </x:c>
      <x:c r="K95" s="27" t="n">
        <x:v>0</x:v>
      </x:c>
      <x:c r="L95" s="27" t="n">
        <x:v>2</x:v>
      </x:c>
      <x:c r="M95" s="27" t="n">
        <x:v>0</x:v>
      </x:c>
    </x:row>
    <x:row r="96">
      <x:c r="A96" s="24" t="str">
        <x:v>Sanborns</x:v>
      </x:c>
      <x:c r="B96" s="27" t="n">
        <x:v>29</x:v>
      </x:c>
      <x:c r="C96" s="27" t="n">
        <x:v>2</x:v>
      </x:c>
      <x:c r="D96" s="29" t="n">
        <x:v>4.5172413793</x:v>
      </x:c>
      <x:c r="E96" s="42" t="n">
        <x:v>25.18</x:v>
      </x:c>
      <x:c r="F96" s="28" t="n">
        <x:v>0.9655172414</x:v>
      </x:c>
      <x:c r="G96" s="28" t="n">
        <x:v>0.9655172414</x:v>
      </x:c>
      <x:c r="H96" s="27" t="n">
        <x:v>7</x:v>
      </x:c>
      <x:c r="I96" s="28" t="n">
        <x:v>0.8620689655</x:v>
      </x:c>
      <x:c r="J96" s="28" t="n">
        <x:v>0.1379310345</x:v>
      </x:c>
      <x:c r="K96" s="27" t="n">
        <x:v>1</x:v>
      </x:c>
      <x:c r="L96" s="27" t="n">
        <x:v>1</x:v>
      </x:c>
      <x:c r="M96" s="27" t="n">
        <x:v>1</x:v>
      </x:c>
    </x:row>
    <x:row r="97">
      <x:c r="A97" s="24" t="str">
        <x:v>ulio&amp;jack</x:v>
      </x:c>
      <x:c r="B97" s="27" t="n">
        <x:v>29</x:v>
      </x:c>
      <x:c r="C97" s="27" t="n">
        <x:v>1</x:v>
      </x:c>
      <x:c r="D97" s="29" t="n">
        <x:v>4.1379310345</x:v>
      </x:c>
      <x:c r="E97" s="42"/>
      <x:c r="F97" s="28" t="n">
        <x:v>0</x:v>
      </x:c>
      <x:c r="G97" s="28" t="n">
        <x:v>0.9310344828</x:v>
      </x:c>
      <x:c r="H97" s="27" t="n">
        <x:v>24</x:v>
      </x:c>
      <x:c r="I97" s="28" t="n">
        <x:v>0.7586206897</x:v>
      </x:c>
      <x:c r="J97" s="28" t="n">
        <x:v>0.1724137931</x:v>
      </x:c>
      <x:c r="K97" s="27" t="n">
        <x:v>0</x:v>
      </x:c>
      <x:c r="L97" s="27" t="n">
        <x:v>0</x:v>
      </x:c>
      <x:c r="M97" s="27" t="n">
        <x:v>0</x:v>
      </x:c>
    </x:row>
    <x:row r="98">
      <x:c r="A98" s="24" t="str">
        <x:v>EST</x:v>
      </x:c>
      <x:c r="B98" s="27" t="n">
        <x:v>28</x:v>
      </x:c>
      <x:c r="C98" s="27" t="n">
        <x:v>12</x:v>
      </x:c>
      <x:c r="D98" s="29" t="n">
        <x:v>4.25</x:v>
      </x:c>
      <x:c r="E98" s="42" t="n">
        <x:v>14.9</x:v>
      </x:c>
      <x:c r="F98" s="28" t="n">
        <x:v>0.6785714286</x:v>
      </x:c>
      <x:c r="G98" s="28" t="n">
        <x:v>1</x:v>
      </x:c>
      <x:c r="H98" s="27" t="n">
        <x:v>4</x:v>
      </x:c>
      <x:c r="I98" s="28" t="n">
        <x:v>0.7857142857</x:v>
      </x:c>
      <x:c r="J98" s="28" t="n">
        <x:v>0.1428571429</x:v>
      </x:c>
      <x:c r="K98" s="27" t="n">
        <x:v>0</x:v>
      </x:c>
      <x:c r="L98" s="27" t="n">
        <x:v>0</x:v>
      </x:c>
      <x:c r="M98" s="27" t="n">
        <x:v>1</x:v>
      </x:c>
    </x:row>
    <x:row r="99">
      <x:c r="A99" s="24" t="str">
        <x:v>Body Fantasies</x:v>
      </x:c>
      <x:c r="B99" s="27" t="n">
        <x:v>27</x:v>
      </x:c>
      <x:c r="C99" s="27" t="n">
        <x:v>4</x:v>
      </x:c>
      <x:c r="D99" s="29" t="n">
        <x:v>4.7037037037</x:v>
      </x:c>
      <x:c r="E99" s="42" t="n">
        <x:v>23.11</x:v>
      </x:c>
      <x:c r="F99" s="28" t="n">
        <x:v>0.962962963</x:v>
      </x:c>
      <x:c r="G99" s="28" t="n">
        <x:v>0.9259259259</x:v>
      </x:c>
      <x:c r="H99" s="27" t="n">
        <x:v>11</x:v>
      </x:c>
      <x:c r="I99" s="28" t="n">
        <x:v>0.9259259259</x:v>
      </x:c>
      <x:c r="J99" s="28" t="n">
        <x:v>0.037037037</x:v>
      </x:c>
      <x:c r="K99" s="27" t="n">
        <x:v>0</x:v>
      </x:c>
      <x:c r="L99" s="27" t="n">
        <x:v>0</x:v>
      </x:c>
      <x:c r="M99" s="27" t="n">
        <x:v>0</x:v>
      </x:c>
    </x:row>
    <x:row r="100">
      <x:c r="A100" s="24" t="str">
        <x:v>ESIKA</x:v>
      </x:c>
      <x:c r="B100" s="27" t="n">
        <x:v>27</x:v>
      </x:c>
      <x:c r="C100" s="27" t="n">
        <x:v>7</x:v>
      </x:c>
      <x:c r="D100" s="29" t="n">
        <x:v>4.8518518519</x:v>
      </x:c>
      <x:c r="E100" s="42" t="n">
        <x:v>32</x:v>
      </x:c>
      <x:c r="F100" s="28" t="n">
        <x:v>0.8518518519</x:v>
      </x:c>
      <x:c r="G100" s="28" t="n">
        <x:v>0.8888888889</x:v>
      </x:c>
      <x:c r="H100" s="27" t="n">
        <x:v>7</x:v>
      </x:c>
      <x:c r="I100" s="28" t="n">
        <x:v>0.962962963</x:v>
      </x:c>
      <x:c r="J100" s="28" t="n">
        <x:v>0</x:v>
      </x:c>
      <x:c r="K100" s="27" t="n">
        <x:v>0</x:v>
      </x:c>
      <x:c r="L100" s="27" t="n">
        <x:v>0</x:v>
      </x:c>
      <x:c r="M100" s="27" t="n">
        <x:v>0</x:v>
      </x:c>
    </x:row>
    <x:row r="101">
      <x:c r="A101" s="24" t="str">
        <x:v>Lake &amp; Skye</x:v>
      </x:c>
      <x:c r="B101" s="27" t="n">
        <x:v>27</x:v>
      </x:c>
      <x:c r="C101" s="27" t="n">
        <x:v>1</x:v>
      </x:c>
      <x:c r="D101" s="29" t="n">
        <x:v>3.2962962963</x:v>
      </x:c>
      <x:c r="E101" s="42"/>
      <x:c r="F101" s="28" t="n">
        <x:v>0</x:v>
      </x:c>
      <x:c r="G101" s="28" t="n">
        <x:v>0.962962963</x:v>
      </x:c>
      <x:c r="H101" s="27" t="n">
        <x:v>21</x:v>
      </x:c>
      <x:c r="I101" s="28" t="n">
        <x:v>0.5185185185</x:v>
      </x:c>
      <x:c r="J101" s="28" t="n">
        <x:v>0.3703703704</x:v>
      </x:c>
      <x:c r="K101" s="27" t="n">
        <x:v>1</x:v>
      </x:c>
      <x:c r="L101" s="27" t="n">
        <x:v>1</x:v>
      </x:c>
      <x:c r="M101" s="27" t="n">
        <x:v>1</x:v>
      </x:c>
    </x:row>
    <x:row r="102">
      <x:c r="A102" s="24" t="str">
        <x:v>NovoGlow</x:v>
      </x:c>
      <x:c r="B102" s="27" t="n">
        <x:v>27</x:v>
      </x:c>
      <x:c r="C102" s="27" t="n">
        <x:v>8</x:v>
      </x:c>
      <x:c r="D102" s="29" t="n">
        <x:v>3.7777777778</x:v>
      </x:c>
      <x:c r="E102" s="42" t="n">
        <x:v>9.49</x:v>
      </x:c>
      <x:c r="F102" s="28" t="n">
        <x:v>0.2222222222</x:v>
      </x:c>
      <x:c r="G102" s="28" t="n">
        <x:v>0.8888888889</x:v>
      </x:c>
      <x:c r="H102" s="27" t="n">
        <x:v>5</x:v>
      </x:c>
      <x:c r="I102" s="28" t="n">
        <x:v>0.6296296296</x:v>
      </x:c>
      <x:c r="J102" s="28" t="n">
        <x:v>0.2592592593</x:v>
      </x:c>
      <x:c r="K102" s="27" t="n">
        <x:v>2</x:v>
      </x:c>
      <x:c r="L102" s="27" t="n">
        <x:v>0</x:v>
      </x:c>
      <x:c r="M102" s="27" t="n">
        <x:v>1</x:v>
      </x:c>
    </x:row>
    <x:row r="103">
      <x:c r="A103" s="24" t="str">
        <x:v>fomei</x:v>
      </x:c>
      <x:c r="B103" s="27" t="n">
        <x:v>27</x:v>
      </x:c>
      <x:c r="C103" s="27" t="n">
        <x:v>1</x:v>
      </x:c>
      <x:c r="D103" s="29" t="n">
        <x:v>4.5555555556</x:v>
      </x:c>
      <x:c r="E103" s="42"/>
      <x:c r="F103" s="28" t="n">
        <x:v>0</x:v>
      </x:c>
      <x:c r="G103" s="28" t="n">
        <x:v>1</x:v>
      </x:c>
      <x:c r="H103" s="27" t="n">
        <x:v>26</x:v>
      </x:c>
      <x:c r="I103" s="28" t="n">
        <x:v>0.8888888889</x:v>
      </x:c>
      <x:c r="J103" s="28" t="n">
        <x:v>0.1111111111</x:v>
      </x:c>
      <x:c r="K103" s="27" t="n">
        <x:v>0</x:v>
      </x:c>
      <x:c r="L103" s="27" t="n">
        <x:v>0</x:v>
      </x:c>
      <x:c r="M103" s="27" t="n">
        <x:v>0</x:v>
      </x:c>
    </x:row>
    <x:row r="104">
      <x:c r="A104" s="24" t="str">
        <x:v>ELLEN TRACY</x:v>
      </x:c>
      <x:c r="B104" s="27" t="n">
        <x:v>26</x:v>
      </x:c>
      <x:c r="C104" s="27" t="n">
        <x:v>3</x:v>
      </x:c>
      <x:c r="D104" s="29" t="n">
        <x:v>3.7692307692</x:v>
      </x:c>
      <x:c r="E104" s="42"/>
      <x:c r="F104" s="28" t="n">
        <x:v>0</x:v>
      </x:c>
      <x:c r="G104" s="28" t="n">
        <x:v>0.9615384615</x:v>
      </x:c>
      <x:c r="H104" s="27" t="n">
        <x:v>18</x:v>
      </x:c>
      <x:c r="I104" s="28" t="n">
        <x:v>0.6538461538</x:v>
      </x:c>
      <x:c r="J104" s="28" t="n">
        <x:v>0.2307692308</x:v>
      </x:c>
      <x:c r="K104" s="27" t="n">
        <x:v>0</x:v>
      </x:c>
      <x:c r="L104" s="27" t="n">
        <x:v>1</x:v>
      </x:c>
      <x:c r="M104" s="27" t="n">
        <x:v>1</x:v>
      </x:c>
    </x:row>
    <x:row r="105">
      <x:c r="A105" s="24" t="str">
        <x:v>Estee Lauder</x:v>
      </x:c>
      <x:c r="B105" s="27" t="n">
        <x:v>26</x:v>
      </x:c>
      <x:c r="C105" s="27" t="n">
        <x:v>7</x:v>
      </x:c>
      <x:c r="D105" s="29" t="n">
        <x:v>4.6923076923</x:v>
      </x:c>
      <x:c r="E105" s="42" t="n">
        <x:v>63.62</x:v>
      </x:c>
      <x:c r="F105" s="28" t="n">
        <x:v>0.9615384615</x:v>
      </x:c>
      <x:c r="G105" s="28" t="n">
        <x:v>0.9230769231</x:v>
      </x:c>
      <x:c r="H105" s="27" t="n">
        <x:v>45</x:v>
      </x:c>
      <x:c r="I105" s="28" t="n">
        <x:v>0.8846153846</x:v>
      </x:c>
      <x:c r="J105" s="28" t="n">
        <x:v>0.0384615385</x:v>
      </x:c>
      <x:c r="K105" s="27" t="n">
        <x:v>1</x:v>
      </x:c>
      <x:c r="L105" s="27" t="n">
        <x:v>1</x:v>
      </x:c>
      <x:c r="M105" s="27" t="n">
        <x:v>0</x:v>
      </x:c>
    </x:row>
    <x:row r="106">
      <x:c r="A106" s="24" t="str">
        <x:v>MyoMakeup</x:v>
      </x:c>
      <x:c r="B106" s="27" t="n">
        <x:v>26</x:v>
      </x:c>
      <x:c r="C106" s="27" t="n">
        <x:v>1</x:v>
      </x:c>
      <x:c r="D106" s="29" t="n">
        <x:v>4.5384615385</x:v>
      </x:c>
      <x:c r="E106" s="42"/>
      <x:c r="F106" s="28" t="n">
        <x:v>0</x:v>
      </x:c>
      <x:c r="G106" s="28" t="n">
        <x:v>0.9615384615</x:v>
      </x:c>
      <x:c r="H106" s="27" t="n">
        <x:v>30</x:v>
      </x:c>
      <x:c r="I106" s="28" t="n">
        <x:v>0.8461538462</x:v>
      </x:c>
      <x:c r="J106" s="28" t="n">
        <x:v>0.0384615385</x:v>
      </x:c>
      <x:c r="K106" s="27" t="n">
        <x:v>0</x:v>
      </x:c>
      <x:c r="L106" s="27" t="n">
        <x:v>0</x:v>
      </x:c>
      <x:c r="M106" s="27" t="n">
        <x:v>0</x:v>
      </x:c>
    </x:row>
    <x:row r="107">
      <x:c r="A107" s="24" t="str">
        <x:v>BIOCURA</x:v>
      </x:c>
      <x:c r="B107" s="27" t="n">
        <x:v>25</x:v>
      </x:c>
      <x:c r="C107" s="27" t="n">
        <x:v>1</x:v>
      </x:c>
      <x:c r="D107" s="29" t="n">
        <x:v>3.52</x:v>
      </x:c>
      <x:c r="E107" s="42" t="n">
        <x:v>12.99</x:v>
      </x:c>
      <x:c r="F107" s="28" t="n">
        <x:v>1</x:v>
      </x:c>
      <x:c r="G107" s="28" t="n">
        <x:v>0.96</x:v>
      </x:c>
      <x:c r="H107" s="27" t="n">
        <x:v>33</x:v>
      </x:c>
      <x:c r="I107" s="28" t="n">
        <x:v>0.6</x:v>
      </x:c>
      <x:c r="J107" s="28" t="n">
        <x:v>0.32</x:v>
      </x:c>
      <x:c r="K107" s="27" t="n">
        <x:v>0</x:v>
      </x:c>
      <x:c r="L107" s="27" t="n">
        <x:v>1</x:v>
      </x:c>
      <x:c r="M107" s="27" t="n">
        <x:v>0</x:v>
      </x:c>
    </x:row>
    <x:row r="108">
      <x:c r="A108" s="24" t="str">
        <x:v>Coastal Fragrance</x:v>
      </x:c>
      <x:c r="B108" s="27" t="n">
        <x:v>25</x:v>
      </x:c>
      <x:c r="C108" s="27" t="n">
        <x:v>8</x:v>
      </x:c>
      <x:c r="D108" s="29" t="n">
        <x:v>4.68</x:v>
      </x:c>
      <x:c r="E108" s="42" t="n">
        <x:v>44.5</x:v>
      </x:c>
      <x:c r="F108" s="28" t="n">
        <x:v>1</x:v>
      </x:c>
      <x:c r="G108" s="28" t="n">
        <x:v>1</x:v>
      </x:c>
      <x:c r="H108" s="27" t="n">
        <x:v>5</x:v>
      </x:c>
      <x:c r="I108" s="28" t="n">
        <x:v>0.92</x:v>
      </x:c>
      <x:c r="J108" s="28" t="n">
        <x:v>0.08</x:v>
      </x:c>
      <x:c r="K108" s="27" t="n">
        <x:v>0</x:v>
      </x:c>
      <x:c r="L108" s="27" t="n">
        <x:v>1</x:v>
      </x:c>
      <x:c r="M108" s="27" t="n">
        <x:v>0</x:v>
      </x:c>
    </x:row>
    <x:row r="109">
      <x:c r="A109" s="24" t="str">
        <x:v>Love Potion? Fragrances</x:v>
      </x:c>
      <x:c r="B109" s="27" t="n">
        <x:v>25</x:v>
      </x:c>
      <x:c r="C109" s="27" t="n">
        <x:v>1</x:v>
      </x:c>
      <x:c r="D109" s="29" t="n">
        <x:v>4.96</x:v>
      </x:c>
      <x:c r="E109" s="42"/>
      <x:c r="F109" s="28" t="n">
        <x:v>0</x:v>
      </x:c>
      <x:c r="G109" s="28" t="n">
        <x:v>0.32</x:v>
      </x:c>
      <x:c r="H109" s="27" t="n">
        <x:v>74</x:v>
      </x:c>
      <x:c r="I109" s="28" t="n">
        <x:v>1</x:v>
      </x:c>
      <x:c r="J109" s="28" t="n">
        <x:v>0</x:v>
      </x:c>
      <x:c r="K109" s="27" t="n">
        <x:v>0</x:v>
      </x:c>
      <x:c r="L109" s="27" t="n">
        <x:v>0</x:v>
      </x:c>
      <x:c r="M109" s="27" t="n">
        <x:v>0</x:v>
      </x:c>
    </x:row>
    <x:row r="110">
      <x:c r="A110" s="24" t="str">
        <x:v>Reyane Tradition</x:v>
      </x:c>
      <x:c r="B110" s="27" t="n">
        <x:v>25</x:v>
      </x:c>
      <x:c r="C110" s="27" t="n">
        <x:v>6</x:v>
      </x:c>
      <x:c r="D110" s="29" t="n">
        <x:v>4.28</x:v>
      </x:c>
      <x:c r="E110" s="42" t="n">
        <x:v>23.99</x:v>
      </x:c>
      <x:c r="F110" s="28" t="n">
        <x:v>0.8</x:v>
      </x:c>
      <x:c r="G110" s="28" t="n">
        <x:v>1</x:v>
      </x:c>
      <x:c r="H110" s="27" t="n">
        <x:v>8</x:v>
      </x:c>
      <x:c r="I110" s="28" t="n">
        <x:v>0.8</x:v>
      </x:c>
      <x:c r="J110" s="28" t="n">
        <x:v>0.16</x:v>
      </x:c>
      <x:c r="K110" s="27" t="n">
        <x:v>0</x:v>
      </x:c>
      <x:c r="L110" s="27" t="n">
        <x:v>0</x:v>
      </x:c>
      <x:c r="M110" s="27" t="n">
        <x:v>0</x:v>
      </x:c>
    </x:row>
    <x:row r="111">
      <x:c r="A111" s="24" t="str">
        <x:v>natura</x:v>
      </x:c>
      <x:c r="B111" s="27" t="n">
        <x:v>25</x:v>
      </x:c>
      <x:c r="C111" s="27" t="n">
        <x:v>13</x:v>
      </x:c>
      <x:c r="D111" s="29" t="n">
        <x:v>4.24</x:v>
      </x:c>
      <x:c r="E111" s="42" t="n">
        <x:v>48.97</x:v>
      </x:c>
      <x:c r="F111" s="28" t="n">
        <x:v>0.52</x:v>
      </x:c>
      <x:c r="G111" s="28" t="n">
        <x:v>0.96</x:v>
      </x:c>
      <x:c r="H111" s="27" t="n">
        <x:v>6</x:v>
      </x:c>
      <x:c r="I111" s="28" t="n">
        <x:v>0.76</x:v>
      </x:c>
      <x:c r="J111" s="28" t="n">
        <x:v>0.12</x:v>
      </x:c>
      <x:c r="K111" s="27" t="n">
        <x:v>0</x:v>
      </x:c>
      <x:c r="L111" s="27" t="n">
        <x:v>0</x:v>
      </x:c>
      <x:c r="M111" s="27" t="n">
        <x:v>0</x:v>
      </x:c>
    </x:row>
    <x:row r="112">
      <x:c r="A112" s="24" t="str">
        <x:v>American Shaving Co.</x:v>
      </x:c>
      <x:c r="B112" s="27" t="n">
        <x:v>24</x:v>
      </x:c>
      <x:c r="C112" s="27" t="n">
        <x:v>2</x:v>
      </x:c>
      <x:c r="D112" s="29" t="n">
        <x:v>3.9166666667</x:v>
      </x:c>
      <x:c r="E112" s="42"/>
      <x:c r="F112" s="28" t="n">
        <x:v>0</x:v>
      </x:c>
      <x:c r="G112" s="28" t="n">
        <x:v>0</x:v>
      </x:c>
      <x:c r="H112" s="27" t="n">
        <x:v>2</x:v>
      </x:c>
      <x:c r="I112" s="28" t="n">
        <x:v>0.7083333333</x:v>
      </x:c>
      <x:c r="J112" s="28" t="n">
        <x:v>0.0833333333</x:v>
      </x:c>
      <x:c r="K112" s="27" t="n">
        <x:v>0</x:v>
      </x:c>
      <x:c r="L112" s="27" t="n">
        <x:v>1</x:v>
      </x:c>
      <x:c r="M112" s="27" t="n">
        <x:v>0</x:v>
      </x:c>
    </x:row>
    <x:row r="113">
      <x:c r="A113" s="24" t="str">
        <x:v>Wishliker</x:v>
      </x:c>
      <x:c r="B113" s="27" t="n">
        <x:v>24</x:v>
      </x:c>
      <x:c r="C113" s="27" t="n">
        <x:v>1</x:v>
      </x:c>
      <x:c r="D113" s="29" t="n">
        <x:v>4.25</x:v>
      </x:c>
      <x:c r="E113" s="42"/>
      <x:c r="F113" s="28" t="n">
        <x:v>0</x:v>
      </x:c>
      <x:c r="G113" s="28" t="n">
        <x:v>0.9166666667</x:v>
      </x:c>
      <x:c r="H113" s="27" t="n">
        <x:v>19</x:v>
      </x:c>
      <x:c r="I113" s="28" t="n">
        <x:v>0.7916666667</x:v>
      </x:c>
      <x:c r="J113" s="28" t="n">
        <x:v>0.1666666667</x:v>
      </x:c>
      <x:c r="K113" s="27" t="n">
        <x:v>0</x:v>
      </x:c>
      <x:c r="L113" s="27" t="n">
        <x:v>0</x:v>
      </x:c>
      <x:c r="M113" s="27" t="n">
        <x:v>0</x:v>
      </x:c>
    </x:row>
    <x:row r="114">
      <x:c r="A114" s="24" t="str">
        <x:v>Atelier Cologne</x:v>
      </x:c>
      <x:c r="B114" s="27" t="n">
        <x:v>23</x:v>
      </x:c>
      <x:c r="C114" s="27" t="n">
        <x:v>8</x:v>
      </x:c>
      <x:c r="D114" s="29" t="n">
        <x:v>4.5217391304</x:v>
      </x:c>
      <x:c r="E114" s="42" t="n">
        <x:v>67.65</x:v>
      </x:c>
      <x:c r="F114" s="28" t="n">
        <x:v>0.0434782609</x:v>
      </x:c>
      <x:c r="G114" s="28" t="n">
        <x:v>0.9565217391</x:v>
      </x:c>
      <x:c r="H114" s="27" t="n">
        <x:v>8</x:v>
      </x:c>
      <x:c r="I114" s="28" t="n">
        <x:v>0.8695652174</x:v>
      </x:c>
      <x:c r="J114" s="28" t="n">
        <x:v>0.0869565217</x:v>
      </x:c>
      <x:c r="K114" s="27" t="n">
        <x:v>1</x:v>
      </x:c>
      <x:c r="L114" s="27" t="n">
        <x:v>0</x:v>
      </x:c>
      <x:c r="M114" s="27" t="n">
        <x:v>0</x:v>
      </x:c>
    </x:row>
    <x:row r="115">
      <x:c r="A115" s="24" t="str">
        <x:v>Castle Forbes</x:v>
      </x:c>
      <x:c r="B115" s="27" t="n">
        <x:v>23</x:v>
      </x:c>
      <x:c r="C115" s="27" t="n">
        <x:v>2</x:v>
      </x:c>
      <x:c r="D115" s="29" t="n">
        <x:v>4.7391304348</x:v>
      </x:c>
      <x:c r="E115" s="42" t="n">
        <x:v>58</x:v>
      </x:c>
      <x:c r="F115" s="28" t="n">
        <x:v>1</x:v>
      </x:c>
      <x:c r="G115" s="28" t="n">
        <x:v>0.9565217391</x:v>
      </x:c>
      <x:c r="H115" s="27" t="n">
        <x:v>40</x:v>
      </x:c>
      <x:c r="I115" s="28" t="n">
        <x:v>0.9130434783</x:v>
      </x:c>
      <x:c r="J115" s="28" t="n">
        <x:v>0</x:v>
      </x:c>
      <x:c r="K115" s="27" t="n">
        <x:v>0</x:v>
      </x:c>
      <x:c r="L115" s="27" t="n">
        <x:v>3</x:v>
      </x:c>
      <x:c r="M115" s="27" t="n">
        <x:v>0</x:v>
      </x:c>
    </x:row>
    <x:row r="116">
      <x:c r="A116" s="24" t="str">
        <x:v>Dove</x:v>
      </x:c>
      <x:c r="B116" s="27" t="n">
        <x:v>23</x:v>
      </x:c>
      <x:c r="C116" s="27" t="n">
        <x:v>2</x:v>
      </x:c>
      <x:c r="D116" s="29" t="n">
        <x:v>3.9565217391</x:v>
      </x:c>
      <x:c r="E116" s="42"/>
      <x:c r="F116" s="28" t="n">
        <x:v>0</x:v>
      </x:c>
      <x:c r="G116" s="28" t="n">
        <x:v>1</x:v>
      </x:c>
      <x:c r="H116" s="27" t="n">
        <x:v>36</x:v>
      </x:c>
      <x:c r="I116" s="28" t="n">
        <x:v>0.652173913</x:v>
      </x:c>
      <x:c r="J116" s="28" t="n">
        <x:v>0.2173913043</x:v>
      </x:c>
      <x:c r="K116" s="27" t="n">
        <x:v>0</x:v>
      </x:c>
      <x:c r="L116" s="27" t="n">
        <x:v>0</x:v>
      </x:c>
      <x:c r="M116" s="27" t="n">
        <x:v>0</x:v>
      </x:c>
    </x:row>
    <x:row r="117">
      <x:c r="A117" s="24" t="str">
        <x:v>Hermes</x:v>
      </x:c>
      <x:c r="B117" s="27" t="n">
        <x:v>23</x:v>
      </x:c>
      <x:c r="C117" s="27" t="n">
        <x:v>6</x:v>
      </x:c>
      <x:c r="D117" s="29" t="n">
        <x:v>4.5652173913</x:v>
      </x:c>
      <x:c r="E117" s="42" t="n">
        <x:v>13.99</x:v>
      </x:c>
      <x:c r="F117" s="28" t="n">
        <x:v>0.7826086957</x:v>
      </x:c>
      <x:c r="G117" s="28" t="n">
        <x:v>0.9130434783</x:v>
      </x:c>
      <x:c r="H117" s="27" t="n">
        <x:v>14</x:v>
      </x:c>
      <x:c r="I117" s="28" t="n">
        <x:v>0.8695652174</x:v>
      </x:c>
      <x:c r="J117" s="28" t="n">
        <x:v>0.1304347826</x:v>
      </x:c>
      <x:c r="K117" s="27" t="n">
        <x:v>0</x:v>
      </x:c>
      <x:c r="L117" s="27" t="n">
        <x:v>0</x:v>
      </x:c>
      <x:c r="M117" s="27" t="n">
        <x:v>0</x:v>
      </x:c>
    </x:row>
    <x:row r="118">
      <x:c r="A118" s="24" t="str">
        <x:v>Kindred Goods</x:v>
      </x:c>
      <x:c r="B118" s="27" t="n">
        <x:v>23</x:v>
      </x:c>
      <x:c r="C118" s="27" t="n">
        <x:v>10</x:v>
      </x:c>
      <x:c r="D118" s="29" t="n">
        <x:v>3.652173913</x:v>
      </x:c>
      <x:c r="E118" s="42" t="n">
        <x:v>69.9</x:v>
      </x:c>
      <x:c r="F118" s="28" t="n">
        <x:v>0.1739130435</x:v>
      </x:c>
      <x:c r="G118" s="28" t="n">
        <x:v>0.9565217391</x:v>
      </x:c>
      <x:c r="H118" s="27" t="n">
        <x:v>14</x:v>
      </x:c>
      <x:c r="I118" s="28" t="n">
        <x:v>0.6086956522</x:v>
      </x:c>
      <x:c r="J118" s="28" t="n">
        <x:v>0.3043478261</x:v>
      </x:c>
      <x:c r="K118" s="27" t="n">
        <x:v>0</x:v>
      </x:c>
      <x:c r="L118" s="27" t="n">
        <x:v>2</x:v>
      </x:c>
      <x:c r="M118" s="27" t="n">
        <x:v>0</x:v>
      </x:c>
    </x:row>
    <x:row r="119">
      <x:c r="A119" s="24" t="str">
        <x:v>Thymes</x:v>
      </x:c>
      <x:c r="B119" s="27" t="n">
        <x:v>23</x:v>
      </x:c>
      <x:c r="C119" s="27" t="n">
        <x:v>4</x:v>
      </x:c>
      <x:c r="D119" s="29" t="n">
        <x:v>4.3913043478</x:v>
      </x:c>
      <x:c r="E119" s="42" t="n">
        <x:v>65</x:v>
      </x:c>
      <x:c r="F119" s="28" t="n">
        <x:v>0.5652173913</x:v>
      </x:c>
      <x:c r="G119" s="28" t="n">
        <x:v>0.9565217391</x:v>
      </x:c>
      <x:c r="H119" s="27" t="n">
        <x:v>8</x:v>
      </x:c>
      <x:c r="I119" s="28" t="n">
        <x:v>0.8260869565</x:v>
      </x:c>
      <x:c r="J119" s="28" t="n">
        <x:v>0.1304347826</x:v>
      </x:c>
      <x:c r="K119" s="27" t="n">
        <x:v>1</x:v>
      </x:c>
      <x:c r="L119" s="27" t="n">
        <x:v>0</x:v>
      </x:c>
      <x:c r="M119" s="27" t="n">
        <x:v>0</x:v>
      </x:c>
    </x:row>
    <x:row r="120">
      <x:c r="A120" s="24" t="str">
        <x:v>Yardley</x:v>
      </x:c>
      <x:c r="B120" s="27" t="n">
        <x:v>23</x:v>
      </x:c>
      <x:c r="C120" s="27" t="n">
        <x:v>7</x:v>
      </x:c>
      <x:c r="D120" s="29" t="n">
        <x:v>3.6086956522</x:v>
      </x:c>
      <x:c r="E120" s="42" t="n">
        <x:v>9.47</x:v>
      </x:c>
      <x:c r="F120" s="28" t="n">
        <x:v>0.7391304348</x:v>
      </x:c>
      <x:c r="G120" s="28" t="n">
        <x:v>0.9130434783</x:v>
      </x:c>
      <x:c r="H120" s="27" t="n">
        <x:v>13</x:v>
      </x:c>
      <x:c r="I120" s="28" t="n">
        <x:v>0.5652173913</x:v>
      </x:c>
      <x:c r="J120" s="28" t="n">
        <x:v>0.2608695652</x:v>
      </x:c>
      <x:c r="K120" s="27" t="n">
        <x:v>1</x:v>
      </x:c>
      <x:c r="L120" s="27" t="n">
        <x:v>0</x:v>
      </x:c>
      <x:c r="M120" s="27" t="n">
        <x:v>2</x:v>
      </x:c>
    </x:row>
    <x:row r="121">
      <x:c r="A121" s="24" t="str">
        <x:v>AXE</x:v>
      </x:c>
      <x:c r="B121" s="27" t="n">
        <x:v>22</x:v>
      </x:c>
      <x:c r="C121" s="27" t="n">
        <x:v>5</x:v>
      </x:c>
      <x:c r="D121" s="29" t="n">
        <x:v>4.5454545455</x:v>
      </x:c>
      <x:c r="E121" s="42"/>
      <x:c r="F121" s="28" t="n">
        <x:v>0</x:v>
      </x:c>
      <x:c r="G121" s="28" t="n">
        <x:v>0.9545454545</x:v>
      </x:c>
      <x:c r="H121" s="27" t="n">
        <x:v>10</x:v>
      </x:c>
      <x:c r="I121" s="28" t="n">
        <x:v>0.8636363636</x:v>
      </x:c>
      <x:c r="J121" s="28" t="n">
        <x:v>0.0909090909</x:v>
      </x:c>
      <x:c r="K121" s="27" t="n">
        <x:v>0</x:v>
      </x:c>
      <x:c r="L121" s="27" t="n">
        <x:v>0</x:v>
      </x:c>
      <x:c r="M121" s="27" t="n">
        <x:v>2</x:v>
      </x:c>
    </x:row>
    <x:row r="122">
      <x:c r="A122" s="24" t="str">
        <x:v>CA Perfume</x:v>
      </x:c>
      <x:c r="B122" s="27" t="n">
        <x:v>22</x:v>
      </x:c>
      <x:c r="C122" s="27" t="n">
        <x:v>9</x:v>
      </x:c>
      <x:c r="D122" s="29" t="n">
        <x:v>3.5</x:v>
      </x:c>
      <x:c r="E122" s="42" t="n">
        <x:v>24.99</x:v>
      </x:c>
      <x:c r="F122" s="28" t="n">
        <x:v>1</x:v>
      </x:c>
      <x:c r="G122" s="28" t="n">
        <x:v>1</x:v>
      </x:c>
      <x:c r="H122" s="27" t="n">
        <x:v>9</x:v>
      </x:c>
      <x:c r="I122" s="28" t="n">
        <x:v>0.5909090909</x:v>
      </x:c>
      <x:c r="J122" s="28" t="n">
        <x:v>0.3636363636</x:v>
      </x:c>
      <x:c r="K122" s="27" t="n">
        <x:v>1</x:v>
      </x:c>
      <x:c r="L122" s="27" t="n">
        <x:v>0</x:v>
      </x:c>
      <x:c r="M122" s="27" t="n">
        <x:v>0</x:v>
      </x:c>
    </x:row>
    <x:row r="123">
      <x:c r="A123" s="24" t="str">
        <x:v>Le Labo</x:v>
      </x:c>
      <x:c r="B123" s="27" t="n">
        <x:v>22</x:v>
      </x:c>
      <x:c r="C123" s="27" t="n">
        <x:v>3</x:v>
      </x:c>
      <x:c r="D123" s="29" t="n">
        <x:v>3.1818181818</x:v>
      </x:c>
      <x:c r="E123" s="42" t="n">
        <x:v>10.45</x:v>
      </x:c>
      <x:c r="F123" s="28" t="n">
        <x:v>1</x:v>
      </x:c>
      <x:c r="G123" s="28" t="n">
        <x:v>0.9545454545</x:v>
      </x:c>
      <x:c r="H123" s="27" t="n">
        <x:v>31</x:v>
      </x:c>
      <x:c r="I123" s="28" t="n">
        <x:v>0.4545454545</x:v>
      </x:c>
      <x:c r="J123" s="28" t="n">
        <x:v>0.4090909091</x:v>
      </x:c>
      <x:c r="K123" s="27" t="n">
        <x:v>0</x:v>
      </x:c>
      <x:c r="L123" s="27" t="n">
        <x:v>3</x:v>
      </x:c>
      <x:c r="M123" s="27" t="n">
        <x:v>0</x:v>
      </x:c>
    </x:row>
    <x:row r="124">
      <x:c r="A124" s="24" t="str">
        <x:v>NPS</x:v>
      </x:c>
      <x:c r="B124" s="27" t="n">
        <x:v>22</x:v>
      </x:c>
      <x:c r="C124" s="27" t="n">
        <x:v>2</x:v>
      </x:c>
      <x:c r="D124" s="29" t="n">
        <x:v>3.9545454545</x:v>
      </x:c>
      <x:c r="E124" s="42" t="n">
        <x:v>106.48</x:v>
      </x:c>
      <x:c r="F124" s="28" t="n">
        <x:v>0.0454545455</x:v>
      </x:c>
      <x:c r="G124" s="28" t="n">
        <x:v>0.9090909091</x:v>
      </x:c>
      <x:c r="H124" s="27" t="n">
        <x:v>6</x:v>
      </x:c>
      <x:c r="I124" s="28" t="n">
        <x:v>0.7272727273</x:v>
      </x:c>
      <x:c r="J124" s="28" t="n">
        <x:v>0.1363636364</x:v>
      </x:c>
      <x:c r="K124" s="27" t="n">
        <x:v>0</x:v>
      </x:c>
      <x:c r="L124" s="27" t="n">
        <x:v>2</x:v>
      </x:c>
      <x:c r="M124" s="27" t="n">
        <x:v>0</x:v>
      </x:c>
    </x:row>
    <x:row r="125">
      <x:c r="A125" s="24" t="str">
        <x:v>ALINICE</x:v>
      </x:c>
      <x:c r="B125" s="27" t="n">
        <x:v>21</x:v>
      </x:c>
      <x:c r="C125" s="27" t="n">
        <x:v>2</x:v>
      </x:c>
      <x:c r="D125" s="29" t="n">
        <x:v>4.4761904762</x:v>
      </x:c>
      <x:c r="E125" s="42"/>
      <x:c r="F125" s="28" t="n">
        <x:v>0</x:v>
      </x:c>
      <x:c r="G125" s="28" t="n">
        <x:v>1</x:v>
      </x:c>
      <x:c r="H125" s="27" t="n">
        <x:v>1</x:v>
      </x:c>
      <x:c r="I125" s="28" t="n">
        <x:v>0.9047619048</x:v>
      </x:c>
      <x:c r="J125" s="28" t="n">
        <x:v>0.0476190476</x:v>
      </x:c>
      <x:c r="K125" s="27" t="n">
        <x:v>1</x:v>
      </x:c>
      <x:c r="L125" s="27" t="n">
        <x:v>0</x:v>
      </x:c>
      <x:c r="M125" s="27" t="n">
        <x:v>0</x:v>
      </x:c>
    </x:row>
    <x:row r="126">
      <x:c r="A126" s="24" t="str">
        <x:v>Ajmal</x:v>
      </x:c>
      <x:c r="B126" s="27" t="n">
        <x:v>21</x:v>
      </x:c>
      <x:c r="C126" s="27" t="n">
        <x:v>10</x:v>
      </x:c>
      <x:c r="D126" s="29" t="n">
        <x:v>4.380952381</x:v>
      </x:c>
      <x:c r="E126" s="42" t="n">
        <x:v>36.49</x:v>
      </x:c>
      <x:c r="F126" s="28" t="n">
        <x:v>0.380952381</x:v>
      </x:c>
      <x:c r="G126" s="28" t="n">
        <x:v>0.8571428571</x:v>
      </x:c>
      <x:c r="H126" s="27" t="n">
        <x:v>26</x:v>
      </x:c>
      <x:c r="I126" s="28" t="n">
        <x:v>0.8095238095</x:v>
      </x:c>
      <x:c r="J126" s="28" t="n">
        <x:v>0.0952380952</x:v>
      </x:c>
      <x:c r="K126" s="27" t="n">
        <x:v>1</x:v>
      </x:c>
      <x:c r="L126" s="27" t="n">
        <x:v>0</x:v>
      </x:c>
      <x:c r="M126" s="27" t="n">
        <x:v>0</x:v>
      </x:c>
    </x:row>
    <x:row r="127">
      <x:c r="A127" s="24" t="str">
        <x:v>Avry</x:v>
      </x:c>
      <x:c r="B127" s="27" t="n">
        <x:v>21</x:v>
      </x:c>
      <x:c r="C127" s="27" t="n">
        <x:v>1</x:v>
      </x:c>
      <x:c r="D127" s="29" t="n">
        <x:v>4.2857142857</x:v>
      </x:c>
      <x:c r="E127" s="42" t="n">
        <x:v>47.49</x:v>
      </x:c>
      <x:c r="F127" s="28" t="n">
        <x:v>1</x:v>
      </x:c>
      <x:c r="G127" s="28" t="n">
        <x:v>1</x:v>
      </x:c>
      <x:c r="H127" s="27" t="n">
        <x:v>25</x:v>
      </x:c>
      <x:c r="I127" s="28" t="n">
        <x:v>0.7619047619</x:v>
      </x:c>
      <x:c r="J127" s="28" t="n">
        <x:v>0.1428571429</x:v>
      </x:c>
      <x:c r="K127" s="27" t="n">
        <x:v>0</x:v>
      </x:c>
      <x:c r="L127" s="27" t="n">
        <x:v>1</x:v>
      </x:c>
      <x:c r="M127" s="27" t="n">
        <x:v>0</x:v>
      </x:c>
    </x:row>
    <x:row r="128">
      <x:c r="A128" s="24" t="str">
        <x:v>Cosmolive</x:v>
      </x:c>
      <x:c r="B128" s="27" t="n">
        <x:v>21</x:v>
      </x:c>
      <x:c r="C128" s="27" t="n">
        <x:v>3</x:v>
      </x:c>
      <x:c r="D128" s="29" t="n">
        <x:v>4.3333333333</x:v>
      </x:c>
      <x:c r="E128" s="42"/>
      <x:c r="F128" s="28" t="n">
        <x:v>0</x:v>
      </x:c>
      <x:c r="G128" s="28" t="n">
        <x:v>1</x:v>
      </x:c>
      <x:c r="H128" s="27" t="n">
        <x:v>7</x:v>
      </x:c>
      <x:c r="I128" s="28" t="n">
        <x:v>0.8095238095</x:v>
      </x:c>
      <x:c r="J128" s="28" t="n">
        <x:v>0.1428571429</x:v>
      </x:c>
      <x:c r="K128" s="27" t="n">
        <x:v>1</x:v>
      </x:c>
      <x:c r="L128" s="27" t="n">
        <x:v>2</x:v>
      </x:c>
      <x:c r="M128" s="27" t="n">
        <x:v>0</x:v>
      </x:c>
    </x:row>
    <x:row r="129">
      <x:c r="A129" s="24" t="str">
        <x:v>SWEET LEILANI</x:v>
      </x:c>
      <x:c r="B129" s="27" t="n">
        <x:v>21</x:v>
      </x:c>
      <x:c r="C129" s="27" t="n">
        <x:v>1</x:v>
      </x:c>
      <x:c r="D129" s="29" t="n">
        <x:v>3.4761904762</x:v>
      </x:c>
      <x:c r="E129" s="42" t="n">
        <x:v>29.89</x:v>
      </x:c>
      <x:c r="F129" s="28" t="n">
        <x:v>1</x:v>
      </x:c>
      <x:c r="G129" s="28" t="n">
        <x:v>1</x:v>
      </x:c>
      <x:c r="H129" s="27" t="n">
        <x:v>30</x:v>
      </x:c>
      <x:c r="I129" s="28" t="n">
        <x:v>0.5238095238</x:v>
      </x:c>
      <x:c r="J129" s="28" t="n">
        <x:v>0.2857142857</x:v>
      </x:c>
      <x:c r="K129" s="27" t="n">
        <x:v>0</x:v>
      </x:c>
      <x:c r="L129" s="27" t="n">
        <x:v>0</x:v>
      </x:c>
      <x:c r="M129" s="27" t="n">
        <x:v>0</x:v>
      </x:c>
    </x:row>
    <x:row r="130">
      <x:c r="A130" s="24" t="str">
        <x:v>Tocca</x:v>
      </x:c>
      <x:c r="B130" s="27" t="n">
        <x:v>21</x:v>
      </x:c>
      <x:c r="C130" s="27" t="n">
        <x:v>9</x:v>
      </x:c>
      <x:c r="D130" s="29" t="n">
        <x:v>4.5714285714</x:v>
      </x:c>
      <x:c r="E130" s="42" t="n">
        <x:v>80</x:v>
      </x:c>
      <x:c r="F130" s="28" t="n">
        <x:v>0.1428571429</x:v>
      </x:c>
      <x:c r="G130" s="28" t="n">
        <x:v>0.9523809524</x:v>
      </x:c>
      <x:c r="H130" s="27" t="n">
        <x:v>9</x:v>
      </x:c>
      <x:c r="I130" s="28" t="n">
        <x:v>0.8571428571</x:v>
      </x:c>
      <x:c r="J130" s="28" t="n">
        <x:v>0.1428571429</x:v>
      </x:c>
      <x:c r="K130" s="27" t="n">
        <x:v>0</x:v>
      </x:c>
      <x:c r="L130" s="27" t="n">
        <x:v>0</x:v>
      </x:c>
      <x:c r="M130" s="27" t="n">
        <x:v>0</x:v>
      </x:c>
    </x:row>
    <x:row r="131">
      <x:c r="A131" s="24" t="str">
        <x:v>Bali in a Bottle</x:v>
      </x:c>
      <x:c r="B131" s="27" t="n">
        <x:v>20</x:v>
      </x:c>
      <x:c r="C131" s="27" t="n">
        <x:v>3</x:v>
      </x:c>
      <x:c r="D131" s="29" t="n">
        <x:v>3.75</x:v>
      </x:c>
      <x:c r="E131" s="42"/>
      <x:c r="F131" s="28" t="n">
        <x:v>0</x:v>
      </x:c>
      <x:c r="G131" s="28" t="n">
        <x:v>1</x:v>
      </x:c>
      <x:c r="H131" s="27" t="n">
        <x:v>22</x:v>
      </x:c>
      <x:c r="I131" s="28" t="n">
        <x:v>0.65</x:v>
      </x:c>
      <x:c r="J131" s="28" t="n">
        <x:v>0.35</x:v>
      </x:c>
      <x:c r="K131" s="27" t="n">
        <x:v>0</x:v>
      </x:c>
      <x:c r="L131" s="27" t="n">
        <x:v>0</x:v>
      </x:c>
      <x:c r="M131" s="27" t="n">
        <x:v>1</x:v>
      </x:c>
    </x:row>
    <x:row r="132">
      <x:c r="A132" s="24" t="str">
        <x:v>Britney Spears</x:v>
      </x:c>
      <x:c r="B132" s="27" t="n">
        <x:v>20</x:v>
      </x:c>
      <x:c r="C132" s="27" t="n">
        <x:v>9</x:v>
      </x:c>
      <x:c r="D132" s="29" t="n">
        <x:v>4.9</x:v>
      </x:c>
      <x:c r="E132" s="42" t="n">
        <x:v>19.195</x:v>
      </x:c>
      <x:c r="F132" s="28" t="n">
        <x:v>0.2</x:v>
      </x:c>
      <x:c r="G132" s="28" t="n">
        <x:v>0.9</x:v>
      </x:c>
      <x:c r="H132" s="27" t="n">
        <x:v>7</x:v>
      </x:c>
      <x:c r="I132" s="28" t="n">
        <x:v>0.95</x:v>
      </x:c>
      <x:c r="J132" s="28" t="n">
        <x:v>0</x:v>
      </x:c>
      <x:c r="K132" s="27" t="n">
        <x:v>0</x:v>
      </x:c>
      <x:c r="L132" s="27" t="n">
        <x:v>0</x:v>
      </x:c>
      <x:c r="M132" s="27" t="n">
        <x:v>0</x:v>
      </x:c>
    </x:row>
    <x:row r="133">
      <x:c r="A133" s="24" t="str">
        <x:v>CT+ Clear Therapy</x:v>
      </x:c>
      <x:c r="B133" s="27" t="n">
        <x:v>20</x:v>
      </x:c>
      <x:c r="C133" s="27" t="n">
        <x:v>3</x:v>
      </x:c>
      <x:c r="D133" s="29" t="n">
        <x:v>3.7</x:v>
      </x:c>
      <x:c r="E133" s="42" t="n">
        <x:v>30.9</x:v>
      </x:c>
      <x:c r="F133" s="28" t="n">
        <x:v>1</x:v>
      </x:c>
      <x:c r="G133" s="28" t="n">
        <x:v>1</x:v>
      </x:c>
      <x:c r="H133" s="27" t="n">
        <x:v>25</x:v>
      </x:c>
      <x:c r="I133" s="28" t="n">
        <x:v>0.65</x:v>
      </x:c>
      <x:c r="J133" s="28" t="n">
        <x:v>0.3</x:v>
      </x:c>
      <x:c r="K133" s="27" t="n">
        <x:v>0</x:v>
      </x:c>
      <x:c r="L133" s="27" t="n">
        <x:v>0</x:v>
      </x:c>
      <x:c r="M133" s="27" t="n">
        <x:v>0</x:v>
      </x:c>
    </x:row>
    <x:row r="134">
      <x:c r="A134" s="24" t="str">
        <x:v>Hook'Ya</x:v>
      </x:c>
      <x:c r="B134" s="27" t="n">
        <x:v>20</x:v>
      </x:c>
      <x:c r="C134" s="27" t="n">
        <x:v>1</x:v>
      </x:c>
      <x:c r="D134" s="29" t="n">
        <x:v>4.9</x:v>
      </x:c>
      <x:c r="E134" s="42" t="n">
        <x:v>25.99</x:v>
      </x:c>
      <x:c r="F134" s="28" t="n">
        <x:v>1</x:v>
      </x:c>
      <x:c r="G134" s="28" t="n">
        <x:v>0.5</x:v>
      </x:c>
      <x:c r="H134" s="27" t="n">
        <x:v>12</x:v>
      </x:c>
      <x:c r="I134" s="28" t="n">
        <x:v>0.95</x:v>
      </x:c>
      <x:c r="J134" s="28" t="n">
        <x:v>0</x:v>
      </x:c>
      <x:c r="K134" s="27" t="n">
        <x:v>0</x:v>
      </x:c>
      <x:c r="L134" s="27" t="n">
        <x:v>0</x:v>
      </x:c>
      <x:c r="M134" s="27" t="n">
        <x:v>1</x:v>
      </x:c>
    </x:row>
    <x:row r="135">
      <x:c r="A135" s="24" t="str">
        <x:v>Jo Malone</x:v>
      </x:c>
      <x:c r="B135" s="27" t="n">
        <x:v>20</x:v>
      </x:c>
      <x:c r="C135" s="27" t="n">
        <x:v>12</x:v>
      </x:c>
      <x:c r="D135" s="29" t="n">
        <x:v>4</x:v>
      </x:c>
      <x:c r="E135" s="42" t="n">
        <x:v>60.995</x:v>
      </x:c>
      <x:c r="F135" s="28" t="n">
        <x:v>0.2</x:v>
      </x:c>
      <x:c r="G135" s="28" t="n">
        <x:v>0.95</x:v>
      </x:c>
      <x:c r="H135" s="27" t="n">
        <x:v>1</x:v>
      </x:c>
      <x:c r="I135" s="28" t="n">
        <x:v>0.75</x:v>
      </x:c>
      <x:c r="J135" s="28" t="n">
        <x:v>0.2</x:v>
      </x:c>
      <x:c r="K135" s="27" t="n">
        <x:v>1</x:v>
      </x:c>
      <x:c r="L135" s="27" t="n">
        <x:v>3</x:v>
      </x:c>
      <x:c r="M135" s="27" t="n">
        <x:v>0</x:v>
      </x:c>
    </x:row>
    <x:row r="136">
      <x:c r="A136" s="24" t="str">
        <x:v>NEST Fragrances</x:v>
      </x:c>
      <x:c r="B136" s="27" t="n">
        <x:v>20</x:v>
      </x:c>
      <x:c r="C136" s="27" t="n">
        <x:v>7</x:v>
      </x:c>
      <x:c r="D136" s="29" t="n">
        <x:v>3.3</x:v>
      </x:c>
      <x:c r="E136" s="42" t="n">
        <x:v>17.89</x:v>
      </x:c>
      <x:c r="F136" s="28" t="n">
        <x:v>0.7</x:v>
      </x:c>
      <x:c r="G136" s="28" t="n">
        <x:v>0.9</x:v>
      </x:c>
      <x:c r="H136" s="27" t="n">
        <x:v>6</x:v>
      </x:c>
      <x:c r="I136" s="28" t="n">
        <x:v>0.55</x:v>
      </x:c>
      <x:c r="J136" s="28" t="n">
        <x:v>0.4</x:v>
      </x:c>
      <x:c r="K136" s="27" t="n">
        <x:v>0</x:v>
      </x:c>
      <x:c r="L136" s="27" t="n">
        <x:v>0</x:v>
      </x:c>
      <x:c r="M136" s="27" t="n">
        <x:v>0</x:v>
      </x:c>
    </x:row>
    <x:row r="137">
      <x:c r="A137" s="24" t="str">
        <x:v>Sarah Jessica Parker</x:v>
      </x:c>
      <x:c r="B137" s="27" t="n">
        <x:v>20</x:v>
      </x:c>
      <x:c r="C137" s="27" t="n">
        <x:v>1</x:v>
      </x:c>
      <x:c r="D137" s="29" t="n">
        <x:v>4.05</x:v>
      </x:c>
      <x:c r="E137" s="42" t="n">
        <x:v>64.95</x:v>
      </x:c>
      <x:c r="F137" s="28" t="n">
        <x:v>1</x:v>
      </x:c>
      <x:c r="G137" s="28" t="n">
        <x:v>0.7</x:v>
      </x:c>
      <x:c r="H137" s="27" t="n">
        <x:v>26</x:v>
      </x:c>
      <x:c r="I137" s="28" t="n">
        <x:v>0.75</x:v>
      </x:c>
      <x:c r="J137" s="28" t="n">
        <x:v>0.2</x:v>
      </x:c>
      <x:c r="K137" s="27" t="n">
        <x:v>0</x:v>
      </x:c>
      <x:c r="L137" s="27" t="n">
        <x:v>0</x:v>
      </x:c>
      <x:c r="M137" s="27" t="n">
        <x:v>0</x:v>
      </x:c>
    </x:row>
    <x:row r="138">
      <x:c r="A138" s="24" t="str">
        <x:v>Song of India Perfume Oil</x:v>
      </x:c>
      <x:c r="B138" s="27" t="n">
        <x:v>20</x:v>
      </x:c>
      <x:c r="C138" s="27" t="n">
        <x:v>9</x:v>
      </x:c>
      <x:c r="D138" s="29" t="n">
        <x:v>4.2</x:v>
      </x:c>
      <x:c r="E138" s="42"/>
      <x:c r="F138" s="28" t="n">
        <x:v>0</x:v>
      </x:c>
      <x:c r="G138" s="28" t="n">
        <x:v>0.95</x:v>
      </x:c>
      <x:c r="H138" s="27" t="n">
        <x:v>4</x:v>
      </x:c>
      <x:c r="I138" s="28" t="n">
        <x:v>0.75</x:v>
      </x:c>
      <x:c r="J138" s="28" t="n">
        <x:v>0.15</x:v>
      </x:c>
      <x:c r="K138" s="27" t="n">
        <x:v>0</x:v>
      </x:c>
      <x:c r="L138" s="27" t="n">
        <x:v>0</x:v>
      </x:c>
      <x:c r="M138" s="27" t="n">
        <x:v>0</x:v>
      </x:c>
    </x:row>
    <x:row r="139">
      <x:c r="A139" s="25" t="str">
        <x:v>Usnyabni</x:v>
      </x:c>
      <x:c r="B139" s="30" t="n">
        <x:v>20</x:v>
      </x:c>
      <x:c r="C139" s="30" t="n">
        <x:v>1</x:v>
      </x:c>
      <x:c r="D139" s="35" t="n">
        <x:v>4.85</x:v>
      </x:c>
      <x:c r="E139" s="43" t="n">
        <x:v>56.81</x:v>
      </x:c>
      <x:c r="F139" s="37" t="n">
        <x:v>1</x:v>
      </x:c>
      <x:c r="G139" s="37" t="n">
        <x:v>1</x:v>
      </x:c>
      <x:c r="H139" s="30" t="n">
        <x:v>8</x:v>
      </x:c>
      <x:c r="I139" s="37" t="n">
        <x:v>1</x:v>
      </x:c>
      <x:c r="J139" s="37" t="n">
        <x:v>0</x:v>
      </x:c>
      <x:c r="K139" s="30" t="n">
        <x:v>1</x:v>
      </x:c>
      <x:c r="L139" s="30" t="n">
        <x:v>0</x:v>
      </x:c>
      <x:c r="M139" s="30" t="n">
        <x:v>0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6b6f237c04d349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Price-band sentiment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6" customHeight="1">
      <x:c r="A3" s="7" t="str">
        <x:v>USD item list price; reviews without a matched price are excluded.</x:v>
      </x:c>
      <x:c r="B3" s="7"/>
      <x:c r="C3" s="7"/>
      <x:c r="D3" s="7"/>
      <x:c r="E3" s="7"/>
      <x:c r="F3" s="7"/>
      <x:c r="G3" s="7"/>
    </x:row>
    <x:row r="5" ht="30" customHeight="1">
      <x:c r="A5" s="16" t="str">
        <x:v>Price band</x:v>
      </x:c>
      <x:c r="B5" s="17" t="str">
        <x:v>Review volume</x:v>
      </x:c>
      <x:c r="C5" s="17" t="str">
        <x:v>Products</x:v>
      </x:c>
      <x:c r="D5" s="17" t="str">
        <x:v>Average rating</x:v>
      </x:c>
      <x:c r="E5" s="17" t="str">
        <x:v>Positive share</x:v>
      </x:c>
      <x:c r="F5" s="17" t="str">
        <x:v>Negative share</x:v>
      </x:c>
      <x:c r="G5" s="18" t="str">
        <x:v>Price discussion share</x:v>
      </x:c>
    </x:row>
    <x:row r="6">
      <x:c r="A6" s="23" t="str">
        <x:v>Under $25</x:v>
      </x:c>
      <x:c r="B6" s="33" t="n">
        <x:v>4155</x:v>
      </x:c>
      <x:c r="C6" s="33" t="n">
        <x:v>537</x:v>
      </x:c>
      <x:c r="D6" s="34" t="n">
        <x:v>4.0296028881</x:v>
      </x:c>
      <x:c r="E6" s="36" t="n">
        <x:v>0.7282791817</x:v>
      </x:c>
      <x:c r="F6" s="36" t="n">
        <x:v>0.2024067389</x:v>
      </x:c>
      <x:c r="G6" s="36" t="n">
        <x:v>0.1422382671</x:v>
      </x:c>
    </x:row>
    <x:row r="7">
      <x:c r="A7" s="24" t="str">
        <x:v>$25–49</x:v>
      </x:c>
      <x:c r="B7" s="27" t="n">
        <x:v>2476</x:v>
      </x:c>
      <x:c r="C7" s="27" t="n">
        <x:v>388</x:v>
      </x:c>
      <x:c r="D7" s="29" t="n">
        <x:v>4.1437802908</x:v>
      </x:c>
      <x:c r="E7" s="28" t="n">
        <x:v>0.7665589661</x:v>
      </x:c>
      <x:c r="F7" s="28" t="n">
        <x:v>0.1680129241</x:v>
      </x:c>
      <x:c r="G7" s="28" t="n">
        <x:v>0.1421647819</x:v>
      </x:c>
    </x:row>
    <x:row r="8">
      <x:c r="A8" s="24" t="str">
        <x:v>$50–99</x:v>
      </x:c>
      <x:c r="B8" s="27" t="n">
        <x:v>1226</x:v>
      </x:c>
      <x:c r="C8" s="27" t="n">
        <x:v>176</x:v>
      </x:c>
      <x:c r="D8" s="29" t="n">
        <x:v>4.2381729201</x:v>
      </x:c>
      <x:c r="E8" s="28" t="n">
        <x:v>0.7920065253</x:v>
      </x:c>
      <x:c r="F8" s="28" t="n">
        <x:v>0.1468189233</x:v>
      </x:c>
      <x:c r="G8" s="28" t="n">
        <x:v>0.1468189233</x:v>
      </x:c>
    </x:row>
    <x:row r="9">
      <x:c r="A9" s="25" t="str">
        <x:v>$100+</x:v>
      </x:c>
      <x:c r="B9" s="30" t="n">
        <x:v>197</x:v>
      </x:c>
      <x:c r="C9" s="30" t="n">
        <x:v>69</x:v>
      </x:c>
      <x:c r="D9" s="35" t="n">
        <x:v>4.2233502538</x:v>
      </x:c>
      <x:c r="E9" s="37" t="n">
        <x:v>0.7817258883</x:v>
      </x:c>
      <x:c r="F9" s="37" t="n">
        <x:v>0.1472081218</x:v>
      </x:c>
      <x:c r="G9" s="37" t="n">
        <x:v>0.1421319797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6200cbfb0b547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Behavioral segments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6" customHeight="1">
      <x:c r="A3" s="7" t="str">
        <x:v>Review-level distribution with rating and sentiment context.</x:v>
      </x:c>
      <x:c r="B3" s="7"/>
      <x:c r="C3" s="7"/>
      <x:c r="D3" s="7"/>
      <x:c r="E3" s="7"/>
      <x:c r="F3" s="7"/>
    </x:row>
    <x:row r="5" ht="30" customHeight="1">
      <x:c r="A5" s="16" t="str">
        <x:v>Category</x:v>
      </x:c>
      <x:c r="B5" s="17" t="str">
        <x:v>Review volume</x:v>
      </x:c>
      <x:c r="C5" s="17" t="str">
        <x:v>Average rating</x:v>
      </x:c>
      <x:c r="D5" s="17" t="str">
        <x:v>Positive share</x:v>
      </x:c>
      <x:c r="E5" s="17" t="str">
        <x:v>Negative share</x:v>
      </x:c>
      <x:c r="F5" s="18" t="str">
        <x:v>Share of reviews</x:v>
      </x:c>
    </x:row>
    <x:row r="6">
      <x:c r="A6" s="23" t="str">
        <x:v>General Purchase</x:v>
      </x:c>
      <x:c r="B6" s="33" t="n">
        <x:v>7733</x:v>
      </x:c>
      <x:c r="C6" s="34" t="n">
        <x:v>4.1515582568</x:v>
      </x:c>
      <x:c r="D6" s="36" t="n">
        <x:v>0.7654209233</x:v>
      </x:c>
      <x:c r="E6" s="36" t="n">
        <x:v>0.1679813785</x:v>
      </x:c>
      <x:c r="F6" s="36" t="n">
        <x:v>0.557976766</x:v>
      </x:c>
    </x:row>
    <x:row r="7">
      <x:c r="A7" s="24" t="str">
        <x:v>Value Risk Reducer</x:v>
      </x:c>
      <x:c r="B7" s="27" t="n">
        <x:v>3271</x:v>
      </x:c>
      <x:c r="C7" s="29" t="n">
        <x:v>3.9425252216</x:v>
      </x:c>
      <x:c r="D7" s="28" t="n">
        <x:v>0.7147661266</x:v>
      </x:c>
      <x:c r="E7" s="28" t="n">
        <x:v>0.2277590951</x:v>
      </x:c>
      <x:c r="F7" s="28" t="n">
        <x:v>0.2360199149</x:v>
      </x:c>
    </x:row>
    <x:row r="8">
      <x:c r="A8" s="24" t="str">
        <x:v>Scent Explorer</x:v>
      </x:c>
      <x:c r="B8" s="27" t="n">
        <x:v>1519</x:v>
      </x:c>
      <x:c r="C8" s="29" t="n">
        <x:v>4.0164581962</x:v>
      </x:c>
      <x:c r="D8" s="28" t="n">
        <x:v>0.7208689928</x:v>
      </x:c>
      <x:c r="E8" s="28" t="n">
        <x:v>0.1882817643</x:v>
      </x:c>
      <x:c r="F8" s="28" t="n">
        <x:v>0.1096038675</x:v>
      </x:c>
    </x:row>
    <x:row r="9">
      <x:c r="A9" s="24" t="str">
        <x:v>Identity Seeker</x:v>
      </x:c>
      <x:c r="B9" s="27" t="n">
        <x:v>621</x:v>
      </x:c>
      <x:c r="C9" s="29" t="n">
        <x:v>4.6376811594</x:v>
      </x:c>
      <x:c r="D9" s="28" t="n">
        <x:v>0.8985507246</x:v>
      </x:c>
      <x:c r="E9" s="28" t="n">
        <x:v>0.0676328502</x:v>
      </x:c>
      <x:c r="F9" s="28" t="n">
        <x:v>0.0448084277</x:v>
      </x:c>
    </x:row>
    <x:row r="10">
      <x:c r="A10" s="24" t="str">
        <x:v>Occasion Gifter</x:v>
      </x:c>
      <x:c r="B10" s="27" t="n">
        <x:v>410</x:v>
      </x:c>
      <x:c r="C10" s="29" t="n">
        <x:v>4.5902439024</x:v>
      </x:c>
      <x:c r="D10" s="28" t="n">
        <x:v>0.9024390244</x:v>
      </x:c>
      <x:c r="E10" s="28" t="n">
        <x:v>0.0609756098</x:v>
      </x:c>
      <x:c r="F10" s="28" t="n">
        <x:v>0.029583664</x:v>
      </x:c>
    </x:row>
    <x:row r="11">
      <x:c r="A11" s="25" t="str">
        <x:v>Performance Led</x:v>
      </x:c>
      <x:c r="B11" s="30" t="n">
        <x:v>305</x:v>
      </x:c>
      <x:c r="C11" s="35" t="n">
        <x:v>2.9803278689</x:v>
      </x:c>
      <x:c r="D11" s="37" t="n">
        <x:v>0.3704918033</x:v>
      </x:c>
      <x:c r="E11" s="37" t="n">
        <x:v>0.3606557377</x:v>
      </x:c>
      <x:c r="F11" s="37" t="n">
        <x:v>0.0220073598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39b77755e4e4c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Fragrance formats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6" customHeight="1">
      <x:c r="A3" s="7" t="str">
        <x:v>Review-level distribution with rating and sentiment context.</x:v>
      </x:c>
      <x:c r="B3" s="7"/>
      <x:c r="C3" s="7"/>
      <x:c r="D3" s="7"/>
      <x:c r="E3" s="7"/>
      <x:c r="F3" s="7"/>
    </x:row>
    <x:row r="5" ht="30" customHeight="1">
      <x:c r="A5" s="16" t="str">
        <x:v>Category</x:v>
      </x:c>
      <x:c r="B5" s="17" t="str">
        <x:v>Review volume</x:v>
      </x:c>
      <x:c r="C5" s="17" t="str">
        <x:v>Average rating</x:v>
      </x:c>
      <x:c r="D5" s="17" t="str">
        <x:v>Positive share</x:v>
      </x:c>
      <x:c r="E5" s="17" t="str">
        <x:v>Negative share</x:v>
      </x:c>
      <x:c r="F5" s="18" t="str">
        <x:v>Share of reviews</x:v>
      </x:c>
    </x:row>
    <x:row r="6">
      <x:c r="A6" s="23" t="str">
        <x:v>Eau De Parfum</x:v>
      </x:c>
      <x:c r="B6" s="33" t="n">
        <x:v>5720</x:v>
      </x:c>
      <x:c r="C6" s="34" t="n">
        <x:v>4.0678321678</x:v>
      </x:c>
      <x:c r="D6" s="36" t="n">
        <x:v>0.7421328671</x:v>
      </x:c>
      <x:c r="E6" s="36" t="n">
        <x:v>0.184965035</x:v>
      </x:c>
      <x:c r="F6" s="36" t="n">
        <x:v>0.3905236567</x:v>
      </x:c>
    </x:row>
    <x:row r="7">
      <x:c r="A7" s="24" t="str">
        <x:v>Cologne</x:v>
      </x:c>
      <x:c r="B7" s="27" t="n">
        <x:v>2275</x:v>
      </x:c>
      <x:c r="C7" s="29" t="n">
        <x:v>4.1749450549</x:v>
      </x:c>
      <x:c r="D7" s="28" t="n">
        <x:v>0.7723076923</x:v>
      </x:c>
      <x:c r="E7" s="28" t="n">
        <x:v>0.16</x:v>
      </x:c>
      <x:c r="F7" s="28" t="n">
        <x:v>0.1553219089</x:v>
      </x:c>
    </x:row>
    <x:row r="8">
      <x:c r="A8" s="24" t="str">
        <x:v>Body Mist</x:v>
      </x:c>
      <x:c r="B8" s="27" t="n">
        <x:v>1640</x:v>
      </x:c>
      <x:c r="C8" s="29" t="n">
        <x:v>4.3024390244</x:v>
      </x:c>
      <x:c r="D8" s="28" t="n">
        <x:v>0.8067073171</x:v>
      </x:c>
      <x:c r="E8" s="28" t="n">
        <x:v>0.1469512195</x:v>
      </x:c>
      <x:c r="F8" s="28" t="n">
        <x:v>0.1119683212</x:v>
      </x:c>
    </x:row>
    <x:row r="9">
      <x:c r="A9" s="24" t="str">
        <x:v>Other Fragrance</x:v>
      </x:c>
      <x:c r="B9" s="27" t="n">
        <x:v>1459</x:v>
      </x:c>
      <x:c r="C9" s="29" t="n">
        <x:v>4.117888965</x:v>
      </x:c>
      <x:c r="D9" s="28" t="n">
        <x:v>0.7559972584</x:v>
      </x:c>
      <x:c r="E9" s="28" t="n">
        <x:v>0.1631254284</x:v>
      </x:c>
      <x:c r="F9" s="28" t="n">
        <x:v>0.0996108418</x:v>
      </x:c>
    </x:row>
    <x:row r="10">
      <x:c r="A10" s="24" t="str">
        <x:v>Eau De Toilette</x:v>
      </x:c>
      <x:c r="B10" s="27" t="n">
        <x:v>1406</x:v>
      </x:c>
      <x:c r="C10" s="29" t="n">
        <x:v>4.273826458</x:v>
      </x:c>
      <x:c r="D10" s="28" t="n">
        <x:v>0.8029871977</x:v>
      </x:c>
      <x:c r="E10" s="28" t="n">
        <x:v>0.1479374111</x:v>
      </x:c>
      <x:c r="F10" s="28" t="n">
        <x:v>0.0959923534</x:v>
      </x:c>
    </x:row>
    <x:row r="11">
      <x:c r="A11" s="24" t="str">
        <x:v>Sample Or Travel</x:v>
      </x:c>
      <x:c r="B11" s="27" t="n">
        <x:v>872</x:v>
      </x:c>
      <x:c r="C11" s="29" t="n">
        <x:v>3.8394495413</x:v>
      </x:c>
      <x:c r="D11" s="28" t="n">
        <x:v>0.6800458716</x:v>
      </x:c>
      <x:c r="E11" s="28" t="n">
        <x:v>0.244266055</x:v>
      </x:c>
      <x:c r="F11" s="28" t="n">
        <x:v>0.0595343756</x:v>
      </x:c>
    </x:row>
    <x:row r="12">
      <x:c r="A12" s="24" t="str">
        <x:v>Fragrance Oil</x:v>
      </x:c>
      <x:c r="B12" s="27" t="n">
        <x:v>855</x:v>
      </x:c>
      <x:c r="C12" s="29" t="n">
        <x:v>3.950877193</x:v>
      </x:c>
      <x:c r="D12" s="28" t="n">
        <x:v>0.7076023392</x:v>
      </x:c>
      <x:c r="E12" s="28" t="n">
        <x:v>0.2093567251</x:v>
      </x:c>
      <x:c r="F12" s="28" t="n">
        <x:v>0.0583737284</x:v>
      </x:c>
    </x:row>
    <x:row r="13">
      <x:c r="A13" s="25" t="str">
        <x:v>Gift Set</x:v>
      </x:c>
      <x:c r="B13" s="30" t="n">
        <x:v>420</x:v>
      </x:c>
      <x:c r="C13" s="35" t="n">
        <x:v>4.2904761905</x:v>
      </x:c>
      <x:c r="D13" s="37" t="n">
        <x:v>0.8047619048</x:v>
      </x:c>
      <x:c r="E13" s="37" t="n">
        <x:v>0.1428571429</x:v>
      </x:c>
      <x:c r="F13" s="37" t="n">
        <x:v>0.028674814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c3edf2cacb94f6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Repurchase intent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6" customHeight="1">
      <x:c r="A3" s="7" t="str">
        <x:v>Review-level distribution with rating and sentiment context.</x:v>
      </x:c>
      <x:c r="B3" s="7"/>
      <x:c r="C3" s="7"/>
      <x:c r="D3" s="7"/>
      <x:c r="E3" s="7"/>
      <x:c r="F3" s="7"/>
    </x:row>
    <x:row r="5" ht="30" customHeight="1">
      <x:c r="A5" s="16" t="str">
        <x:v>Category</x:v>
      </x:c>
      <x:c r="B5" s="17" t="str">
        <x:v>Review volume</x:v>
      </x:c>
      <x:c r="C5" s="17" t="str">
        <x:v>Average rating</x:v>
      </x:c>
      <x:c r="D5" s="17" t="str">
        <x:v>Positive share</x:v>
      </x:c>
      <x:c r="E5" s="17" t="str">
        <x:v>Negative share</x:v>
      </x:c>
      <x:c r="F5" s="18" t="str">
        <x:v>Share of reviews</x:v>
      </x:c>
    </x:row>
    <x:row r="6">
      <x:c r="A6" s="23" t="str">
        <x:v>Not Explicit</x:v>
      </x:c>
      <x:c r="B6" s="33" t="n">
        <x:v>13505</x:v>
      </x:c>
      <x:c r="C6" s="34" t="n">
        <x:v>4.0955942244</x:v>
      </x:c>
      <x:c r="D6" s="36" t="n">
        <x:v>0.7498704184</x:v>
      </x:c>
      <x:c r="E6" s="36" t="n">
        <x:v>0.1808219178</x:v>
      </x:c>
      <x:c r="F6" s="36" t="n">
        <x:v>0.9744570315</x:v>
      </x:c>
    </x:row>
    <x:row r="7">
      <x:c r="A7" s="24" t="str">
        <x:v>Positive</x:v>
      </x:c>
      <x:c r="B7" s="27" t="n">
        <x:v>316</x:v>
      </x:c>
      <x:c r="C7" s="29" t="n">
        <x:v>4.4335443038</x:v>
      </x:c>
      <x:c r="D7" s="28" t="n">
        <x:v>0.8417721519</x:v>
      </x:c>
      <x:c r="E7" s="28" t="n">
        <x:v>0.1075949367</x:v>
      </x:c>
      <x:c r="F7" s="28" t="n">
        <x:v>0.0228010679</x:v>
      </x:c>
    </x:row>
    <x:row r="8">
      <x:c r="A8" s="25" t="str">
        <x:v>Negative</x:v>
      </x:c>
      <x:c r="B8" s="30" t="n">
        <x:v>38</x:v>
      </x:c>
      <x:c r="C8" s="35" t="n">
        <x:v>1.5789473684</x:v>
      </x:c>
      <x:c r="D8" s="37" t="n">
        <x:v>0</x:v>
      </x:c>
      <x:c r="E8" s="37" t="n">
        <x:v>0.8157894737</x:v>
      </x:c>
      <x:c r="F8" s="37" t="n">
        <x:v>0.0027419006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2612857fd0448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52" hidden="0" customWidth="1"/>
    <x:col min="4" max="4" width="52" hidden="0" customWidth="1"/>
  </x:cols>
  <x:sheetData>
    <x:row r="1" ht="24" customHeight="1">
      <x:c r="A1" s="4" t="str">
        <x:v>Metric dictionary</x:v>
      </x:c>
      <x:c r="B1" s="4"/>
      <x:c r="C1" s="4"/>
      <x:c r="D1" s="4"/>
    </x:row>
    <x:row r="2" ht="22" customHeight="1">
      <x:c r="A2" s="4"/>
      <x:c r="B2" s="4"/>
      <x:c r="C2" s="4"/>
      <x:c r="D2" s="4"/>
    </x:row>
    <x:row r="3" ht="26" customHeight="1">
      <x:c r="A3" s="7" t="str">
        <x:v>Definitions and denominators used throughout the workbook.</x:v>
      </x:c>
      <x:c r="B3" s="7"/>
      <x:c r="C3" s="7"/>
      <x:c r="D3" s="7"/>
    </x:row>
    <x:row r="5" ht="30" customHeight="1">
      <x:c r="A5" s="16" t="str">
        <x:v>Metric</x:v>
      </x:c>
      <x:c r="B5" s="17" t="str">
        <x:v>Definition</x:v>
      </x:c>
      <x:c r="C5" s="17" t="str">
        <x:v>Denominator / grain</x:v>
      </x:c>
      <x:c r="D5" s="18" t="str">
        <x:v>Notes</x:v>
      </x:c>
    </x:row>
    <x:row r="6" ht="42" customHeight="1">
      <x:c r="A6" s="23" t="str">
        <x:v>Analysis review</x:v>
      </x:c>
      <x:c r="B6" s="38" t="str">
        <x:v>Valid fragrance-linked review after composite-key deduplication</x:v>
      </x:c>
      <x:c r="C6" s="38" t="str">
        <x:v>One review_key</x:v>
      </x:c>
      <x:c r="D6" s="38" t="str">
        <x:v>Raw user id and review text are not stored</x:v>
      </x:c>
    </x:row>
    <x:row r="7" ht="42" customHeight="1">
      <x:c r="A7" s="24" t="str">
        <x:v>Text-eligible review</x:v>
      </x:c>
      <x:c r="B7" s="39" t="str">
        <x:v>At least 20 normalized characters and 4 tokens</x:v>
      </x:c>
      <x:c r="C7" s="39" t="str">
        <x:v>Analysis reviews</x:v>
      </x:c>
      <x:c r="D7" s="39" t="str">
        <x:v>Pure promotional noise excluded from text cuts</x:v>
      </x:c>
    </x:row>
    <x:row r="8" ht="42" customHeight="1">
      <x:c r="A8" s="24" t="str">
        <x:v>Positive review share</x:v>
      </x:c>
      <x:c r="B8" s="39" t="str">
        <x:v>Rating is 4 or 5</x:v>
      </x:c>
      <x:c r="C8" s="39" t="str">
        <x:v>Reviews in the selected cut</x:v>
      </x:c>
      <x:c r="D8" s="39" t="str">
        <x:v>Observed rating sentiment, not NLP sentiment</x:v>
      </x:c>
    </x:row>
    <x:row r="9" ht="42" customHeight="1">
      <x:c r="A9" s="24" t="str">
        <x:v>Negative review share</x:v>
      </x:c>
      <x:c r="B9" s="39" t="str">
        <x:v>Rating is 1 or 2</x:v>
      </x:c>
      <x:c r="C9" s="39" t="str">
        <x:v>Reviews in the selected cut</x:v>
      </x:c>
      <x:c r="D9" s="39" t="str">
        <x:v>3-star reviews are neutral</x:v>
      </x:c>
    </x:row>
    <x:row r="10" ht="42" customHeight="1">
      <x:c r="A10" s="24" t="str">
        <x:v>Pain mention rate</x:v>
      </x:c>
      <x:c r="B10" s="39" t="str">
        <x:v>At least one lexicon phrase for the pain category</x:v>
      </x:c>
      <x:c r="C10" s="39" t="str">
        <x:v>Negative eligible reviews</x:v>
      </x:c>
      <x:c r="D10" s="39" t="str">
        <x:v>Multi-label; rates do not sum to 100%</x:v>
      </x:c>
    </x:row>
    <x:row r="11" ht="42" customHeight="1">
      <x:c r="A11" s="24" t="str">
        <x:v>Need-state mention rate</x:v>
      </x:c>
      <x:c r="B11" s="39" t="str">
        <x:v>At least one use-case or emotional phrase</x:v>
      </x:c>
      <x:c r="C11" s="39" t="str">
        <x:v>Eligible reviews</x:v>
      </x:c>
      <x:c r="D11" s="39" t="str">
        <x:v>Multi-label</x:v>
      </x:c>
    </x:row>
    <x:row r="12" ht="42" customHeight="1">
      <x:c r="A12" s="24" t="str">
        <x:v>Scent-family mention rate</x:v>
      </x:c>
      <x:c r="B12" s="39" t="str">
        <x:v>At least one consumer scent word</x:v>
      </x:c>
      <x:c r="C12" s="39" t="str">
        <x:v>Eligible reviews</x:v>
      </x:c>
      <x:c r="D12" s="39" t="str">
        <x:v>Not official brand fragrance taxonomy</x:v>
      </x:c>
    </x:row>
    <x:row r="13" ht="42" customHeight="1">
      <x:c r="A13" s="24" t="str">
        <x:v>Explicit repurchase share</x:v>
      </x:c>
      <x:c r="B13" s="39" t="str">
        <x:v>Positive or negative buy-again phrase</x:v>
      </x:c>
      <x:c r="C13" s="39" t="str">
        <x:v>Explicit repurchase reviews only</x:v>
      </x:c>
      <x:c r="D13" s="39" t="str">
        <x:v>Not an observed repeat-purchase rate</x:v>
      </x:c>
    </x:row>
    <x:row r="14" ht="42" customHeight="1">
      <x:c r="A14" s="24" t="str">
        <x:v>Brand review footprint</x:v>
      </x:c>
      <x:c r="B14" s="39" t="str">
        <x:v>Count of linked reviews</x:v>
      </x:c>
      <x:c r="C14" s="39" t="str">
        <x:v>Brand/store normalized from item metadata</x:v>
      </x:c>
      <x:c r="D14" s="39" t="str">
        <x:v>Not sales or market share</x:v>
      </x:c>
    </x:row>
    <x:row r="15" ht="42" customHeight="1">
      <x:c r="A15" s="24" t="str">
        <x:v>Price-band sentiment</x:v>
      </x:c>
      <x:c r="B15" s="39" t="str">
        <x:v>Rating sentiment by metadata list price</x:v>
      </x:c>
      <x:c r="C15" s="39" t="str">
        <x:v>Reviews with non-null USD price</x:v>
      </x:c>
      <x:c r="D15" s="39" t="str">
        <x:v>Price captured at source crawl time</x:v>
      </x:c>
    </x:row>
    <x:row r="16" ht="42" customHeight="1">
      <x:c r="A16" s="25" t="str">
        <x:v>Behavior segment</x:v>
      </x:c>
      <x:c r="B16" s="40" t="str">
        <x:v>Mutually exclusive deterministic rule label</x:v>
      </x:c>
      <x:c r="C16" s="40" t="str">
        <x:v>One eligible review</x:v>
      </x:c>
      <x:c r="D16" s="40" t="str">
        <x:v>No demographic inference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0be09eb1480043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22" hidden="0" customWidth="1"/>
    <x:col min="4" max="4" width="55" hidden="0" customWidth="1"/>
  </x:cols>
  <x:sheetData>
    <x:row r="1" ht="24" customHeight="1">
      <x:c r="A1" s="4" t="str">
        <x:v>Source notes</x:v>
      </x:c>
      <x:c r="B1" s="4"/>
      <x:c r="C1" s="4"/>
      <x:c r="D1" s="4"/>
    </x:row>
    <x:row r="2" ht="22" customHeight="1">
      <x:c r="A2" s="4"/>
      <x:c r="B2" s="4"/>
      <x:c r="C2" s="4"/>
      <x:c r="D2" s="4"/>
    </x:row>
    <x:row r="3" ht="26" customHeight="1">
      <x:c r="A3" s="7" t="str">
        <x:v>Public research data, privacy handling and refresh guidance.</x:v>
      </x:c>
      <x:c r="B3" s="7"/>
      <x:c r="C3" s="7"/>
      <x:c r="D3" s="7"/>
    </x:row>
    <x:row r="5" ht="30" customHeight="1">
      <x:c r="A5" s="16" t="str">
        <x:v>Item</x:v>
      </x:c>
      <x:c r="B5" s="17" t="str">
        <x:v>Value</x:v>
      </x:c>
      <x:c r="C5" s="17" t="str">
        <x:v>Status</x:v>
      </x:c>
      <x:c r="D5" s="18" t="str">
        <x:v>Implication</x:v>
      </x:c>
    </x:row>
    <x:row r="6" ht="40" customHeight="1">
      <x:c r="A6" s="23" t="str">
        <x:v>Dataset</x:v>
      </x:c>
      <x:c r="B6" s="38" t="str">
        <x:v>Amazon Reviews 2023 / All_Beauty — McAuley Lab</x:v>
      </x:c>
      <x:c r="C6" s="38" t="str">
        <x:v>Public research source</x:v>
      </x:c>
      <x:c r="D6" s="38" t="str">
        <x:v>Historical consumer review evidence</x:v>
      </x:c>
    </x:row>
    <x:row r="7" ht="40" customHeight="1">
      <x:c r="A7" s="24" t="str">
        <x:v>Project page</x:v>
      </x:c>
      <x:c r="B7" s="39" t="str">
        <x:v>https://amazon-reviews-2023.github.io/</x:v>
      </x:c>
      <x:c r="C7" s="39" t="str">
        <x:v>Source URL</x:v>
      </x:c>
      <x:c r="D7" s="39" t="str">
        <x:v>Dataset fields, coverage and citation</x:v>
      </x:c>
    </x:row>
    <x:row r="8" ht="40" customHeight="1">
      <x:c r="A8" s="24" t="str">
        <x:v>Review URL</x:v>
      </x:c>
      <x:c r="B8" s="39" t="str">
        <x:v>https://mcauleylab.ucsd.edu/public_datasets/data/amazon_2023/raw/review_categories/All_Beauty.jsonl.gz</x:v>
      </x:c>
      <x:c r="C8" s="39" t="str">
        <x:v>Source URL</x:v>
      </x:c>
      <x:c r="D8" s="39" t="str">
        <x:v>Raw file is downloaded locally and not committed</x:v>
      </x:c>
    </x:row>
    <x:row r="9" ht="40" customHeight="1">
      <x:c r="A9" s="24" t="str">
        <x:v>Metadata URL</x:v>
      </x:c>
      <x:c r="B9" s="39" t="str">
        <x:v>https://mcauleylab.ucsd.edu/public_datasets/data/amazon_2023/raw/meta_categories/meta_All_Beauty.jsonl.gz</x:v>
      </x:c>
      <x:c r="C9" s="39" t="str">
        <x:v>Source URL</x:v>
      </x:c>
      <x:c r="D9" s="39" t="str">
        <x:v>Provides title, brand/store and list price</x:v>
      </x:c>
    </x:row>
    <x:row r="10" ht="40" customHeight="1">
      <x:c r="A10" s="24" t="str">
        <x:v>Data as of</x:v>
      </x:c>
      <x:c r="B10" s="44" t="str">
        <x:v>2023-08-30</x:v>
      </x:c>
      <x:c r="C10" s="39" t="str">
        <x:v>Historical</x:v>
      </x:c>
      <x:c r="D10" s="39" t="str">
        <x:v>Not a 2026 real-time market monitor</x:v>
      </x:c>
    </x:row>
    <x:row r="11" ht="40" customHeight="1">
      <x:c r="A11" s="24" t="str">
        <x:v>Raw review rows</x:v>
      </x:c>
      <x:c r="B11" s="45" t="n">
        <x:v>701528</x:v>
      </x:c>
      <x:c r="C11" s="39" t="str">
        <x:v>Validated</x:v>
      </x:c>
      <x:c r="D11" s="39" t="str">
        <x:v>All source JSONL rows parsed</x:v>
      </x:c>
    </x:row>
    <x:row r="12" ht="40" customHeight="1">
      <x:c r="A12" s="24" t="str">
        <x:v>Raw metadata rows</x:v>
      </x:c>
      <x:c r="B12" s="45" t="n">
        <x:v>112590</x:v>
      </x:c>
      <x:c r="C12" s="39" t="str">
        <x:v>Validated</x:v>
      </x:c>
      <x:c r="D12" s="39" t="str">
        <x:v>All source JSONL rows parsed</x:v>
      </x:c>
    </x:row>
    <x:row r="13" ht="40" customHeight="1">
      <x:c r="A13" s="24" t="str">
        <x:v>Privacy</x:v>
      </x:c>
      <x:c r="B13" s="39" t="str">
        <x:v>Review text and raw user identifiers are not persisted in processed outputs.</x:v>
      </x:c>
      <x:c r="C13" s="39" t="str">
        <x:v>Applied</x:v>
      </x:c>
      <x:c r="D13" s="39" t="str">
        <x:v>Processed outputs contain no full review text or raw user ids</x:v>
      </x:c>
    </x:row>
    <x:row r="14" ht="40" customHeight="1">
      <x:c r="A14" s="25" t="str">
        <x:v>Refresh</x:v>
      </x:c>
      <x:c r="B14" s="40" t="str">
        <x:v>Run download_data.py, then run_pipeline.py, then build_tracker.mjs</x:v>
      </x:c>
      <x:c r="C14" s="40" t="str">
        <x:v>Reproducible</x:v>
      </x:c>
      <x:c r="D14" s="40" t="str">
        <x:v>Replace source adapters for approved social/e-commerce feeds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b2605cb5bf14424a"/>
  </x:tableParts>
</x:worksheet>
</file>